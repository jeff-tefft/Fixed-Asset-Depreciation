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tefft\Box\Accounting (NSP Admin)\Jeffrey\_SUCCESSION\Business Analyst\Automation\Fixed Assets\"/>
    </mc:Choice>
  </mc:AlternateContent>
  <xr:revisionPtr revIDLastSave="0" documentId="13_ncr:1_{51327DE4-6EDD-4EE9-86E6-CE38620BD13D}" xr6:coauthVersionLast="36" xr6:coauthVersionMax="47" xr10:uidLastSave="{00000000-0000-0000-0000-000000000000}"/>
  <bookViews>
    <workbookView xWindow="57480" yWindow="-120" windowWidth="29040" windowHeight="15720" xr2:uid="{D7521DCF-DDDB-4F20-A015-29F448D7445D}"/>
  </bookViews>
  <sheets>
    <sheet name="Balance" sheetId="3" r:id="rId1"/>
    <sheet name="JE Entry" sheetId="2" r:id="rId2"/>
    <sheet name="Add" sheetId="6" r:id="rId3"/>
    <sheet name="Adjust" sheetId="1" r:id="rId4"/>
    <sheet name="Remove" sheetId="7" r:id="rId5"/>
    <sheet name="Detail" sheetId="5" r:id="rId6"/>
    <sheet name="JE History" sheetId="8" r:id="rId7"/>
    <sheet name="BS History" sheetId="10" r:id="rId8"/>
    <sheet name="Months Accts" sheetId="9" state="hidden" r:id="rId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9" i="5" l="1"/>
  <c r="M89" i="5" s="1"/>
  <c r="N89" i="5" s="1"/>
  <c r="J89" i="5"/>
  <c r="H89" i="5"/>
  <c r="L88" i="5"/>
  <c r="M88" i="5" s="1"/>
  <c r="N88" i="5" s="1"/>
  <c r="J88" i="5"/>
  <c r="H88" i="5"/>
  <c r="L87" i="5"/>
  <c r="M87" i="5" s="1"/>
  <c r="N87" i="5" s="1"/>
  <c r="J87" i="5"/>
  <c r="H87" i="5"/>
  <c r="L86" i="5" l="1"/>
  <c r="M86" i="5" s="1"/>
  <c r="N86" i="5" s="1"/>
  <c r="J86" i="5"/>
  <c r="H86" i="5"/>
  <c r="J76" i="5" l="1"/>
  <c r="J77" i="5"/>
  <c r="J75" i="5"/>
  <c r="L85" i="5" l="1"/>
  <c r="M85" i="5" s="1"/>
  <c r="N85" i="5" s="1"/>
  <c r="J85" i="5"/>
  <c r="H85" i="5"/>
  <c r="K8" i="1" l="1"/>
  <c r="H8" i="1"/>
  <c r="C8" i="1"/>
  <c r="J6" i="1"/>
  <c r="C6" i="1"/>
  <c r="N2" i="10"/>
  <c r="K4" i="9" l="1"/>
  <c r="J4" i="9"/>
  <c r="I4" i="9"/>
  <c r="H4" i="9"/>
  <c r="K6" i="9"/>
  <c r="J6" i="9"/>
  <c r="K3" i="9"/>
  <c r="J3" i="9"/>
  <c r="I3" i="9"/>
  <c r="H3" i="9"/>
  <c r="K2" i="9"/>
  <c r="J2" i="9"/>
  <c r="I2" i="9"/>
  <c r="G4" i="9"/>
  <c r="G3" i="9"/>
  <c r="H2" i="9"/>
  <c r="G18" i="2"/>
  <c r="F17" i="2"/>
  <c r="G15" i="2"/>
  <c r="F14" i="2"/>
  <c r="G12" i="2"/>
  <c r="F11" i="2"/>
  <c r="G9" i="2"/>
  <c r="F8" i="2"/>
  <c r="G6" i="2"/>
  <c r="F22" i="3"/>
  <c r="J22" i="3" s="1"/>
  <c r="F21" i="3"/>
  <c r="J21" i="3" s="1"/>
  <c r="F20" i="3"/>
  <c r="J20" i="3" s="1"/>
  <c r="F19" i="3"/>
  <c r="J19" i="3" s="1"/>
  <c r="F18" i="3"/>
  <c r="J18" i="3" s="1"/>
  <c r="F17" i="3"/>
  <c r="J17" i="3" s="1"/>
  <c r="F16" i="3"/>
  <c r="J16" i="3" s="1"/>
  <c r="F15" i="3"/>
  <c r="J15" i="3" s="1"/>
  <c r="F14" i="3"/>
  <c r="J14" i="3" s="1"/>
  <c r="F13" i="3"/>
  <c r="J13" i="3" s="1"/>
  <c r="F12" i="3"/>
  <c r="J12" i="3" s="1"/>
  <c r="F11" i="3"/>
  <c r="J11" i="3" s="1"/>
  <c r="F10" i="3"/>
  <c r="J10" i="3" s="1"/>
  <c r="F9" i="3"/>
  <c r="J9" i="3" s="1"/>
  <c r="F8" i="3"/>
  <c r="J8" i="3" s="1"/>
  <c r="F7" i="3"/>
  <c r="J7" i="3" s="1"/>
  <c r="F6" i="3"/>
  <c r="J6" i="3" s="1"/>
  <c r="F5" i="2"/>
  <c r="F5" i="3"/>
  <c r="J5" i="3" s="1"/>
  <c r="G20" i="2" l="1"/>
  <c r="F20" i="2"/>
  <c r="G2" i="9"/>
  <c r="K2" i="10" l="1"/>
  <c r="H23" i="3" l="1"/>
  <c r="F23" i="3"/>
  <c r="C4" i="6"/>
  <c r="J6" i="7"/>
  <c r="D10" i="1"/>
  <c r="E10" i="1"/>
  <c r="E10" i="7"/>
  <c r="D10" i="7"/>
  <c r="C8" i="7"/>
  <c r="K8" i="7"/>
  <c r="H8" i="7"/>
  <c r="C6" i="7"/>
  <c r="AA1" i="5" l="1"/>
  <c r="Z1" i="5"/>
  <c r="Y1" i="5"/>
  <c r="X1" i="5"/>
  <c r="W1" i="5"/>
  <c r="V1" i="5"/>
  <c r="U1" i="5"/>
  <c r="T1" i="5"/>
  <c r="S1" i="5"/>
  <c r="R1" i="5"/>
  <c r="Q1" i="5"/>
  <c r="P1" i="5"/>
  <c r="I10" i="7"/>
  <c r="I10" i="1"/>
  <c r="I10" i="6"/>
  <c r="J23" i="3" l="1"/>
  <c r="L80" i="5" l="1"/>
  <c r="M80" i="5" s="1"/>
  <c r="N80" i="5" s="1"/>
  <c r="L79" i="5"/>
  <c r="M79" i="5" s="1"/>
  <c r="N79" i="5" s="1"/>
  <c r="L78" i="5"/>
  <c r="M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M73" i="5" s="1"/>
  <c r="L72" i="5"/>
  <c r="M72" i="5" s="1"/>
  <c r="N72" i="5" s="1"/>
  <c r="L71" i="5"/>
  <c r="M71" i="5" s="1"/>
  <c r="N71" i="5" s="1"/>
  <c r="L70" i="5"/>
  <c r="M70" i="5" s="1"/>
  <c r="N70" i="5" s="1"/>
  <c r="M69" i="5"/>
  <c r="N69" i="5" s="1"/>
  <c r="M68" i="5"/>
  <c r="N68" i="5" s="1"/>
  <c r="M67" i="5"/>
  <c r="N67" i="5" s="1"/>
  <c r="L66" i="5"/>
  <c r="M66" i="5" s="1"/>
  <c r="N66" i="5" s="1"/>
  <c r="L65" i="5"/>
  <c r="M65" i="5" s="1"/>
  <c r="N65" i="5" s="1"/>
  <c r="L64" i="5"/>
  <c r="M64" i="5" s="1"/>
  <c r="N64" i="5" s="1"/>
  <c r="L63" i="5"/>
  <c r="M63" i="5" s="1"/>
  <c r="N63" i="5" s="1"/>
  <c r="L62" i="5"/>
  <c r="M62" i="5" s="1"/>
  <c r="N62" i="5" s="1"/>
  <c r="L61" i="5"/>
  <c r="M61" i="5" s="1"/>
  <c r="N61" i="5" s="1"/>
  <c r="L60" i="5"/>
  <c r="M60" i="5" s="1"/>
  <c r="N60" i="5" s="1"/>
  <c r="L59" i="5"/>
  <c r="M59" i="5" s="1"/>
  <c r="N59" i="5" s="1"/>
  <c r="L58" i="5"/>
  <c r="M58" i="5" s="1"/>
  <c r="N58" i="5" s="1"/>
  <c r="M57" i="5"/>
  <c r="N57" i="5" s="1"/>
  <c r="L56" i="5"/>
  <c r="M56" i="5" s="1"/>
  <c r="N56" i="5" s="1"/>
  <c r="L55" i="5"/>
  <c r="M55" i="5" s="1"/>
  <c r="N55" i="5" s="1"/>
  <c r="L54" i="5"/>
  <c r="M54" i="5" s="1"/>
  <c r="N54" i="5" s="1"/>
  <c r="L53" i="5"/>
  <c r="M53" i="5" s="1"/>
  <c r="N53" i="5" s="1"/>
  <c r="L52" i="5"/>
  <c r="M52" i="5" s="1"/>
  <c r="N52" i="5" s="1"/>
  <c r="L51" i="5"/>
  <c r="M51" i="5" s="1"/>
  <c r="N51" i="5" s="1"/>
  <c r="L50" i="5"/>
  <c r="M50" i="5" s="1"/>
  <c r="N50" i="5" s="1"/>
  <c r="L49" i="5"/>
  <c r="M49" i="5" s="1"/>
  <c r="N49" i="5" s="1"/>
  <c r="L48" i="5"/>
  <c r="M48" i="5" s="1"/>
  <c r="N48" i="5" s="1"/>
  <c r="L47" i="5"/>
  <c r="M47" i="5" s="1"/>
  <c r="N47" i="5" s="1"/>
  <c r="L46" i="5"/>
  <c r="M46" i="5" s="1"/>
  <c r="N46" i="5" s="1"/>
  <c r="L45" i="5"/>
  <c r="M45" i="5" s="1"/>
  <c r="N45" i="5" s="1"/>
  <c r="L44" i="5"/>
  <c r="M44" i="5" s="1"/>
  <c r="N44" i="5" s="1"/>
  <c r="L43" i="5"/>
  <c r="M43" i="5" s="1"/>
  <c r="N43" i="5" s="1"/>
  <c r="L42" i="5"/>
  <c r="M42" i="5" s="1"/>
  <c r="N42" i="5" s="1"/>
  <c r="L41" i="5"/>
  <c r="M41" i="5" s="1"/>
  <c r="N41" i="5" s="1"/>
  <c r="L40" i="5"/>
  <c r="M40" i="5" s="1"/>
  <c r="N40" i="5" s="1"/>
  <c r="L39" i="5"/>
  <c r="M39" i="5" s="1"/>
  <c r="N39" i="5" s="1"/>
  <c r="L38" i="5"/>
  <c r="M38" i="5" s="1"/>
  <c r="N38" i="5" s="1"/>
  <c r="L37" i="5"/>
  <c r="M37" i="5" s="1"/>
  <c r="N37" i="5" s="1"/>
  <c r="L36" i="5"/>
  <c r="M36" i="5" s="1"/>
  <c r="N36" i="5" s="1"/>
  <c r="L35" i="5"/>
  <c r="M35" i="5" s="1"/>
  <c r="N35" i="5" s="1"/>
  <c r="L34" i="5"/>
  <c r="M34" i="5" s="1"/>
  <c r="N34" i="5" s="1"/>
  <c r="L33" i="5"/>
  <c r="M33" i="5" s="1"/>
  <c r="N33" i="5" s="1"/>
  <c r="L32" i="5"/>
  <c r="M32" i="5" s="1"/>
  <c r="L31" i="5"/>
  <c r="M31" i="5" s="1"/>
  <c r="L30" i="5"/>
  <c r="M30" i="5" s="1"/>
  <c r="N30" i="5" s="1"/>
  <c r="L29" i="5"/>
  <c r="M29" i="5" s="1"/>
  <c r="L28" i="5"/>
  <c r="M28" i="5" s="1"/>
  <c r="N28" i="5" s="1"/>
  <c r="L27" i="5"/>
  <c r="M27" i="5" s="1"/>
  <c r="L26" i="5"/>
  <c r="M26" i="5" s="1"/>
  <c r="N26" i="5" s="1"/>
  <c r="L25" i="5"/>
  <c r="M25" i="5" s="1"/>
  <c r="L24" i="5"/>
  <c r="M24" i="5" s="1"/>
  <c r="N24" i="5" s="1"/>
  <c r="L23" i="5"/>
  <c r="M23" i="5" s="1"/>
  <c r="L22" i="5"/>
  <c r="M22" i="5" s="1"/>
  <c r="N22" i="5" s="1"/>
  <c r="L21" i="5"/>
  <c r="M21" i="5" s="1"/>
  <c r="N21" i="5" s="1"/>
  <c r="L20" i="5"/>
  <c r="M20" i="5" s="1"/>
  <c r="N20" i="5" s="1"/>
  <c r="L19" i="5"/>
  <c r="M19" i="5" s="1"/>
  <c r="N19" i="5" s="1"/>
  <c r="L18" i="5"/>
  <c r="M18" i="5" s="1"/>
  <c r="L17" i="5"/>
  <c r="M17" i="5" s="1"/>
  <c r="N17" i="5" s="1"/>
  <c r="L16" i="5"/>
  <c r="M16" i="5" s="1"/>
  <c r="N16" i="5" s="1"/>
  <c r="L15" i="5"/>
  <c r="M15" i="5" s="1"/>
  <c r="N15" i="5" s="1"/>
  <c r="L14" i="5"/>
  <c r="M14" i="5" s="1"/>
  <c r="N14" i="5" s="1"/>
  <c r="L13" i="5"/>
  <c r="M13" i="5" s="1"/>
  <c r="N13" i="5" s="1"/>
  <c r="L12" i="5"/>
  <c r="M12" i="5" s="1"/>
  <c r="N12" i="5" s="1"/>
  <c r="L11" i="5"/>
  <c r="M11" i="5" s="1"/>
  <c r="N11" i="5" s="1"/>
  <c r="L10" i="5"/>
  <c r="M10" i="5" s="1"/>
  <c r="N10" i="5" s="1"/>
  <c r="L9" i="5"/>
  <c r="M9" i="5" s="1"/>
  <c r="N9" i="5" s="1"/>
  <c r="L8" i="5"/>
  <c r="M8" i="5" s="1"/>
  <c r="N8" i="5" s="1"/>
  <c r="L7" i="5"/>
  <c r="M7" i="5" s="1"/>
  <c r="N7" i="5" s="1"/>
  <c r="L6" i="5"/>
  <c r="M6" i="5" s="1"/>
  <c r="N6" i="5" s="1"/>
  <c r="L5" i="5"/>
  <c r="M5" i="5" s="1"/>
  <c r="N5" i="5" s="1"/>
  <c r="L4" i="5"/>
  <c r="M4" i="5" s="1"/>
  <c r="N4" i="5" s="1"/>
  <c r="L3" i="5"/>
  <c r="M3" i="5" s="1"/>
  <c r="N3" i="5" s="1"/>
  <c r="L2" i="5"/>
  <c r="M2" i="5" s="1"/>
  <c r="N2" i="5" s="1"/>
  <c r="J84" i="5"/>
  <c r="J83" i="5"/>
  <c r="J80" i="5"/>
  <c r="J79" i="5"/>
  <c r="J78" i="5"/>
  <c r="J74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28" i="5"/>
  <c r="J26" i="5"/>
  <c r="J24" i="5"/>
  <c r="J22" i="5"/>
  <c r="J21" i="5"/>
  <c r="J20" i="5"/>
  <c r="J19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H80" i="5"/>
  <c r="H79" i="5"/>
  <c r="H78" i="5"/>
  <c r="H77" i="5"/>
  <c r="K77" i="5" s="1"/>
  <c r="H76" i="5"/>
  <c r="K76" i="5" s="1"/>
  <c r="H75" i="5"/>
  <c r="K75" i="5" s="1"/>
  <c r="H74" i="5"/>
  <c r="K74" i="5" s="1"/>
  <c r="H73" i="5"/>
  <c r="F73" i="5"/>
  <c r="H72" i="5"/>
  <c r="H71" i="5"/>
  <c r="H70" i="5"/>
  <c r="K70" i="5" s="1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F31" i="5"/>
  <c r="H30" i="5"/>
  <c r="K30" i="5" s="1"/>
  <c r="H29" i="5"/>
  <c r="F29" i="5"/>
  <c r="J29" i="5" s="1"/>
  <c r="H28" i="5"/>
  <c r="K28" i="5" s="1"/>
  <c r="H27" i="5"/>
  <c r="F27" i="5"/>
  <c r="H26" i="5"/>
  <c r="K26" i="5" s="1"/>
  <c r="H25" i="5"/>
  <c r="F25" i="5"/>
  <c r="J25" i="5" s="1"/>
  <c r="H24" i="5"/>
  <c r="K24" i="5" s="1"/>
  <c r="H23" i="5"/>
  <c r="F23" i="5"/>
  <c r="J23" i="5" s="1"/>
  <c r="H22" i="5"/>
  <c r="K22" i="5" s="1"/>
  <c r="H21" i="5"/>
  <c r="K21" i="5" s="1"/>
  <c r="H20" i="5"/>
  <c r="K20" i="5" s="1"/>
  <c r="H19" i="5"/>
  <c r="K19" i="5" s="1"/>
  <c r="H18" i="5"/>
  <c r="F18" i="5"/>
  <c r="H17" i="5"/>
  <c r="K17" i="5" s="1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K3" i="5" s="1"/>
  <c r="H2" i="5"/>
  <c r="K18" i="5" l="1"/>
  <c r="K27" i="5"/>
  <c r="N27" i="5"/>
  <c r="N23" i="5"/>
  <c r="N29" i="5"/>
  <c r="N18" i="5"/>
  <c r="K25" i="5"/>
  <c r="N73" i="5"/>
  <c r="J73" i="5"/>
  <c r="K31" i="5"/>
  <c r="J18" i="5"/>
  <c r="N25" i="5"/>
  <c r="K29" i="5"/>
  <c r="N31" i="5"/>
  <c r="J27" i="5"/>
  <c r="N78" i="5"/>
  <c r="N3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Ellen White</author>
  </authors>
  <commentList>
    <comment ref="K11" authorId="0" shapeId="0" xr:uid="{C699A2BF-FC89-486B-A08E-D37471336F5D}">
      <text>
        <r>
          <rPr>
            <b/>
            <sz val="9"/>
            <color indexed="81"/>
            <rFont val="Tahoma"/>
            <family val="2"/>
          </rPr>
          <t>Ellen White:</t>
        </r>
        <r>
          <rPr>
            <sz val="9"/>
            <color indexed="81"/>
            <rFont val="Tahoma"/>
            <family val="2"/>
          </rPr>
          <t xml:space="preserve">
Juliann's #s are slightly different than my calc, use hers to tie out to QB history, immat to adj</t>
        </r>
      </text>
    </comment>
  </commentList>
</comments>
</file>

<file path=xl/sharedStrings.xml><?xml version="1.0" encoding="utf-8"?>
<sst xmlns="http://schemas.openxmlformats.org/spreadsheetml/2006/main" count="495" uniqueCount="230">
  <si>
    <t>Acct #</t>
  </si>
  <si>
    <t>Class</t>
  </si>
  <si>
    <t>Description</t>
  </si>
  <si>
    <t>Date Placed in Service</t>
  </si>
  <si>
    <t>Basis</t>
  </si>
  <si>
    <t>Useful Life YR</t>
  </si>
  <si>
    <t>Useful Life Mo</t>
  </si>
  <si>
    <t>Mo Deprec</t>
  </si>
  <si>
    <t>Accum Deprec @6/23</t>
  </si>
  <si>
    <t>NBV @6/23</t>
  </si>
  <si>
    <t>NBV @6/24</t>
  </si>
  <si>
    <t>15100/15199</t>
  </si>
  <si>
    <t>Building Van Gordon</t>
  </si>
  <si>
    <t>15200/15299</t>
  </si>
  <si>
    <t>Building Warehouse</t>
  </si>
  <si>
    <t>15300/15399</t>
  </si>
  <si>
    <t>Bldg Improv Van Gordon</t>
  </si>
  <si>
    <t>Split One Office into Two</t>
  </si>
  <si>
    <t>08/27/2009</t>
  </si>
  <si>
    <t>Association Sign Replacement</t>
  </si>
  <si>
    <t>12/01/2007</t>
  </si>
  <si>
    <t>Tenant Finish-Comm. Design</t>
  </si>
  <si>
    <t>05/01/1987</t>
  </si>
  <si>
    <t>06/01/1987</t>
  </si>
  <si>
    <t>Move Telephones</t>
  </si>
  <si>
    <t>06/17/1987</t>
  </si>
  <si>
    <t>09/01/2005</t>
  </si>
  <si>
    <t>08/23/1994</t>
  </si>
  <si>
    <t>01/01/1995</t>
  </si>
  <si>
    <t>Front Entrance</t>
  </si>
  <si>
    <t>06/01/1995</t>
  </si>
  <si>
    <t>10/01/1995</t>
  </si>
  <si>
    <t>Building Insulation</t>
  </si>
  <si>
    <t>01/15/2003</t>
  </si>
  <si>
    <t>Siding Installation &amp; Design</t>
  </si>
  <si>
    <t>08/01/2004</t>
  </si>
  <si>
    <t>15400/15499</t>
  </si>
  <si>
    <t>Bldg Improv Warehouse</t>
  </si>
  <si>
    <t>Building improvement warehouse</t>
  </si>
  <si>
    <t>15500/15599</t>
  </si>
  <si>
    <t>IT</t>
  </si>
  <si>
    <t>Dell &amp; Printer Winxp123</t>
  </si>
  <si>
    <t>08/07/2007</t>
  </si>
  <si>
    <t>Dell Shared SQL Server</t>
  </si>
  <si>
    <t>12/05/2007</t>
  </si>
  <si>
    <t>Dell Server Domain Controller</t>
  </si>
  <si>
    <t>06/05/2008</t>
  </si>
  <si>
    <t>Dell Desk Top</t>
  </si>
  <si>
    <t>06/26/2008</t>
  </si>
  <si>
    <t>FBI Server</t>
  </si>
  <si>
    <t>02/01/2009</t>
  </si>
  <si>
    <t>IMIS Upgrade</t>
  </si>
  <si>
    <t>07/01/2009</t>
  </si>
  <si>
    <t>03/01/2010</t>
  </si>
  <si>
    <t>IMIS SQL for Addl Users</t>
  </si>
  <si>
    <t>Qty 1 PowerEdge R720 Server</t>
  </si>
  <si>
    <t>Online Marketplace Software</t>
  </si>
  <si>
    <t>Monthly Dec 2013-Jun 2014</t>
  </si>
  <si>
    <t>Upgrade Dec 2013-Jun 2014</t>
  </si>
  <si>
    <t>Final pymnt--term of customer service agreement</t>
  </si>
  <si>
    <t>Monthly Jul 2014-Dec 2014</t>
  </si>
  <si>
    <t>2015 May-June</t>
  </si>
  <si>
    <t>Nikon D7200 camera for Marketing</t>
  </si>
  <si>
    <t xml:space="preserve">2015 July - 2016 June </t>
  </si>
  <si>
    <t xml:space="preserve">2016 July </t>
  </si>
  <si>
    <t>2016 Q3 and 2016 Q4 
(will start depreciating 2016.08 -- 8 months catch-up at 2017.03, including March)</t>
  </si>
  <si>
    <t>Sonic Wall TZ300 2-year upgrade</t>
  </si>
  <si>
    <t xml:space="preserve">Basket purchase monitors and dock </t>
  </si>
  <si>
    <t xml:space="preserve">Engraver and software for warehouse </t>
  </si>
  <si>
    <t>15600/15699</t>
  </si>
  <si>
    <t>Equipment</t>
  </si>
  <si>
    <t>Land Van Gordon</t>
  </si>
  <si>
    <t xml:space="preserve"> </t>
  </si>
  <si>
    <t>Land Warehouse</t>
  </si>
  <si>
    <t>Accum Dep @6/24</t>
  </si>
  <si>
    <t>LAND</t>
  </si>
  <si>
    <t>ID #</t>
  </si>
  <si>
    <t>Index:</t>
  </si>
  <si>
    <t xml:space="preserve">Description: </t>
  </si>
  <si>
    <t xml:space="preserve">Account #: </t>
  </si>
  <si>
    <t xml:space="preserve">Basis: </t>
  </si>
  <si>
    <t xml:space="preserve">Date Placed in Service: </t>
  </si>
  <si>
    <t xml:space="preserve">Useful Life (Yrs): </t>
  </si>
  <si>
    <t xml:space="preserve">Accumulated Depreciation: </t>
  </si>
  <si>
    <t xml:space="preserve">Net Book Value: </t>
  </si>
  <si>
    <t>Add Tracked Item</t>
  </si>
  <si>
    <t>Adjust Tracked Item</t>
  </si>
  <si>
    <t xml:space="preserve">Month: </t>
  </si>
  <si>
    <t>Remove Tracked Item</t>
  </si>
  <si>
    <t>Update Current Values - Add to JE</t>
  </si>
  <si>
    <t>Remove Current Item - Depreciate Total in JE</t>
  </si>
  <si>
    <t>Add Current Item - Adds Normal to JE</t>
  </si>
  <si>
    <t>Month</t>
  </si>
  <si>
    <t>Date Last Edited</t>
  </si>
  <si>
    <t>Account #</t>
  </si>
  <si>
    <t>Account Name</t>
  </si>
  <si>
    <t>Dep Equipment</t>
  </si>
  <si>
    <t>Acc Dep Equipment</t>
  </si>
  <si>
    <t>Acc Dep Bldg Improve Van Gordon</t>
  </si>
  <si>
    <t>Dep Bldg Improve Warehouse</t>
  </si>
  <si>
    <t>Acc Dep Bldg Improve Warehouse</t>
  </si>
  <si>
    <t>Dep IT</t>
  </si>
  <si>
    <t>Acc Dep IT</t>
  </si>
  <si>
    <t>Dep Building Warehouse</t>
  </si>
  <si>
    <t>Acc Dep Building Warehouse</t>
  </si>
  <si>
    <t>Journal Entry</t>
  </si>
  <si>
    <t>Debit</t>
  </si>
  <si>
    <t>Credit</t>
  </si>
  <si>
    <t>Lookup JE for Month</t>
  </si>
  <si>
    <t>Lookup Balance for Month</t>
  </si>
  <si>
    <t>Balance</t>
  </si>
  <si>
    <t>Acc Dep Building Van Gordon</t>
  </si>
  <si>
    <t>Accum Amort-FCC Radio Licenses</t>
  </si>
  <si>
    <t>Accum Amortization Trademarks</t>
  </si>
  <si>
    <t>Building Improvement Van Gordon</t>
  </si>
  <si>
    <t>Building Improvement Warehouse</t>
  </si>
  <si>
    <t>Acc Dep BIdg Improve Warehouse</t>
  </si>
  <si>
    <t>Trademarks</t>
  </si>
  <si>
    <t>FCC Radio Licenses Owned</t>
  </si>
  <si>
    <t>15100</t>
  </si>
  <si>
    <t>15199</t>
  </si>
  <si>
    <t>15200</t>
  </si>
  <si>
    <t>15299</t>
  </si>
  <si>
    <t>15300</t>
  </si>
  <si>
    <t>15399</t>
  </si>
  <si>
    <t>15400</t>
  </si>
  <si>
    <t>15499</t>
  </si>
  <si>
    <t>15500</t>
  </si>
  <si>
    <t>15599</t>
  </si>
  <si>
    <t>15600</t>
  </si>
  <si>
    <t>15699</t>
  </si>
  <si>
    <t>15700</t>
  </si>
  <si>
    <t>15710</t>
  </si>
  <si>
    <t>15719</t>
  </si>
  <si>
    <t>15799</t>
  </si>
  <si>
    <t>15800</t>
  </si>
  <si>
    <t>15900</t>
  </si>
  <si>
    <t>TOTAL</t>
  </si>
  <si>
    <t>QuickBooks</t>
  </si>
  <si>
    <t>Diff</t>
  </si>
  <si>
    <t>1st of Month</t>
  </si>
  <si>
    <t>YYYY-MM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</si>
  <si>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</si>
  <si>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</si>
  <si>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</si>
  <si>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</si>
  <si>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</si>
  <si>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</si>
  <si>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</si>
  <si>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</si>
  <si>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</si>
  <si>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</si>
  <si>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</si>
  <si>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</si>
  <si>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Make New Year Sheet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</si>
  <si>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</si>
  <si>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</si>
  <si>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</si>
  <si>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</si>
  <si>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</si>
  <si>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</si>
  <si>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</si>
  <si>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</si>
  <si>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</si>
  <si>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</si>
  <si>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</si>
  <si>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</si>
  <si>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Column</t>
  </si>
  <si>
    <t>Accounts</t>
  </si>
  <si>
    <t>2023-06</t>
  </si>
  <si>
    <t>15700/15799</t>
  </si>
  <si>
    <t>15710/15719</t>
  </si>
  <si>
    <t>JE</t>
  </si>
  <si>
    <t>Add</t>
  </si>
  <si>
    <t>Adjust</t>
  </si>
  <si>
    <t>Remove</t>
  </si>
  <si>
    <t>The current capitalization threshold is $5,000.</t>
  </si>
  <si>
    <t>FY24 deprec</t>
  </si>
  <si>
    <t>Building Main</t>
  </si>
  <si>
    <t>Carpets</t>
  </si>
  <si>
    <t>New Roof and Fire Repair Improvements</t>
  </si>
  <si>
    <t>Dumpster</t>
  </si>
  <si>
    <t>Conference Room</t>
  </si>
  <si>
    <t>Finish Conference Room</t>
  </si>
  <si>
    <t>Electrical install to convert hall to office</t>
  </si>
  <si>
    <t xml:space="preserve">HVAC replacement system </t>
  </si>
  <si>
    <t>Late change orders related to HVAC replacement system</t>
  </si>
  <si>
    <t>Late invoice related to HVAC replacement system</t>
  </si>
  <si>
    <t>Condenser</t>
  </si>
  <si>
    <t>Roof membrane</t>
  </si>
  <si>
    <t>LED light conversions</t>
  </si>
  <si>
    <t xml:space="preserve">Windows: 30 </t>
  </si>
  <si>
    <t>Remodel of 3rd floor (which included painting)</t>
  </si>
  <si>
    <t>Sliding roof hatch</t>
  </si>
  <si>
    <t xml:space="preserve">Carpet and stairwells </t>
  </si>
  <si>
    <t>Lobby carpet</t>
  </si>
  <si>
    <t xml:space="preserve">Rebuild of reception/front office space </t>
  </si>
  <si>
    <t>Security system upgrades for warehouse</t>
  </si>
  <si>
    <t>Server and shipping</t>
  </si>
  <si>
    <t>Acc Dep Bldg Improve Main</t>
  </si>
  <si>
    <t>Dep Bldg Improve Main</t>
  </si>
  <si>
    <t xml:space="preserve">WebConnection </t>
  </si>
  <si>
    <t xml:space="preserve">Video recorder </t>
  </si>
  <si>
    <t>Dell Latitude</t>
  </si>
  <si>
    <t>13 Monitors</t>
  </si>
  <si>
    <t>2 Laptops</t>
  </si>
  <si>
    <t>27 in iMac</t>
  </si>
  <si>
    <t xml:space="preserve">Main Software additional users </t>
  </si>
  <si>
    <t>3 desktops</t>
  </si>
  <si>
    <t>Laptop</t>
  </si>
  <si>
    <t>Phone System Professional, 18 terminals</t>
  </si>
  <si>
    <t>Notebook/Netbook</t>
  </si>
  <si>
    <t>Laptop, Dock, Montitor</t>
  </si>
  <si>
    <t>UPS battery backup unit</t>
  </si>
  <si>
    <t>WordPress integration</t>
  </si>
  <si>
    <t>IT Webpage Contractor</t>
  </si>
  <si>
    <t>Development, testing &amp; production</t>
  </si>
  <si>
    <t>Development, testing &amp; production Milestone 3</t>
  </si>
  <si>
    <t>Database Migration Discovery</t>
  </si>
  <si>
    <t>Laptops</t>
  </si>
  <si>
    <t>Warehouse forklift</t>
  </si>
  <si>
    <t>Compressor (for A/C system)</t>
  </si>
  <si>
    <t>Large shredder</t>
  </si>
  <si>
    <t>Licenses Owned</t>
  </si>
  <si>
    <t>Land Main</t>
  </si>
  <si>
    <t>New Database Cloud implementation</t>
  </si>
  <si>
    <t>Restroom Renovations</t>
  </si>
  <si>
    <t>Laptops for Replacement</t>
  </si>
  <si>
    <t>Webpage Upgrade</t>
  </si>
  <si>
    <t>eCommerce Store Upgrade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</si>
</sst>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&quot;$&quot;* #,##0_);_(&quot;$&quot;* \(#,##0\);_(&quot;$&quot;* &quot;-&quot;??_);_(@_)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323232"/>
      <name val="Calibri"/>
      <family val="2"/>
      <scheme val="minor"/>
    </font>
    <font>
      <sz val="10"/>
      <color rgb="FF32323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20"/>
      <color rgb="FF000000"/>
      <name val="Calibri"/>
      <family val="2"/>
    </font>
    <font>
      <b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FF9DC"/>
        <bgColor indexed="64"/>
      </patternFill>
    </fill>
    <fill>
      <patternFill patternType="solid">
        <fgColor rgb="FFE1FBE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39" fontId="4" fillId="0" borderId="0"/>
    <xf numFmtId="44" fontId="1" fillId="0" borderId="0" applyFont="0" applyFill="0" applyBorder="0" applyAlignment="0" applyProtection="0"/>
    <xf numFmtId="0" fontId="1" fillId="0" borderId="0"/>
    <xf numFmtId="0" fontId="4" fillId="0" borderId="0"/>
  </cellStyleXfs>
  <cellXfs count="129">
    <xf numFmtId="0" fontId="0" fillId="0" borderId="0" xfId="0"/>
    <xf numFmtId="0" fontId="2" fillId="0" borderId="0" xfId="0" applyFont="1" applyAlignment="1">
      <alignment wrapText="1"/>
    </xf>
    <xf numFmtId="14" fontId="3" fillId="0" borderId="0" xfId="0" applyNumberFormat="1" applyFont="1" applyAlignment="1">
      <alignment horizontal="center" wrapText="1"/>
    </xf>
    <xf numFmtId="43" fontId="3" fillId="0" borderId="0" xfId="1" applyFont="1" applyAlignment="1">
      <alignment horizontal="center" wrapText="1"/>
    </xf>
    <xf numFmtId="164" fontId="2" fillId="0" borderId="0" xfId="1" applyNumberFormat="1" applyFont="1" applyAlignment="1">
      <alignment horizontal="center" wrapText="1"/>
    </xf>
    <xf numFmtId="14" fontId="5" fillId="0" borderId="0" xfId="0" applyNumberFormat="1" applyFont="1" applyAlignment="1">
      <alignment horizontal="center" wrapText="1"/>
    </xf>
    <xf numFmtId="0" fontId="6" fillId="0" borderId="0" xfId="0" applyFont="1" applyAlignment="1">
      <alignment wrapText="1"/>
    </xf>
    <xf numFmtId="14" fontId="5" fillId="0" borderId="0" xfId="0" applyNumberFormat="1" applyFont="1" applyAlignment="1">
      <alignment horizontal="center" vertical="top" wrapText="1"/>
    </xf>
    <xf numFmtId="0" fontId="5" fillId="0" borderId="0" xfId="0" applyFont="1" applyAlignment="1">
      <alignment wrapText="1"/>
    </xf>
    <xf numFmtId="0" fontId="7" fillId="0" borderId="0" xfId="1" quotePrefix="1" applyNumberFormat="1" applyFont="1" applyAlignment="1">
      <alignment horizontal="left"/>
    </xf>
    <xf numFmtId="0" fontId="2" fillId="0" borderId="0" xfId="0" applyFont="1"/>
    <xf numFmtId="0" fontId="7" fillId="0" borderId="1" xfId="0" applyFont="1" applyBorder="1"/>
    <xf numFmtId="14" fontId="8" fillId="0" borderId="1" xfId="0" applyNumberFormat="1" applyFont="1" applyBorder="1"/>
    <xf numFmtId="43" fontId="8" fillId="0" borderId="1" xfId="1" applyFont="1" applyBorder="1" applyAlignment="1"/>
    <xf numFmtId="164" fontId="7" fillId="0" borderId="1" xfId="1" applyNumberFormat="1" applyFont="1" applyBorder="1" applyAlignment="1"/>
    <xf numFmtId="164" fontId="7" fillId="0" borderId="0" xfId="1" applyNumberFormat="1" applyFont="1" applyBorder="1" applyAlignment="1"/>
    <xf numFmtId="0" fontId="9" fillId="0" borderId="1" xfId="0" applyFont="1" applyBorder="1" applyAlignment="1">
      <alignment vertical="top"/>
    </xf>
    <xf numFmtId="14" fontId="6" fillId="0" borderId="1" xfId="0" quotePrefix="1" applyNumberFormat="1" applyFont="1" applyBorder="1" applyAlignment="1">
      <alignment horizontal="right"/>
    </xf>
    <xf numFmtId="43" fontId="8" fillId="0" borderId="1" xfId="1" applyFont="1" applyFill="1" applyBorder="1" applyAlignment="1">
      <alignment horizontal="right" vertical="top"/>
    </xf>
    <xf numFmtId="164" fontId="7" fillId="0" borderId="1" xfId="1" applyNumberFormat="1" applyFont="1" applyFill="1" applyBorder="1" applyAlignment="1">
      <alignment horizontal="center" vertical="top"/>
    </xf>
    <xf numFmtId="0" fontId="7" fillId="0" borderId="0" xfId="1" quotePrefix="1" applyNumberFormat="1" applyFont="1" applyFill="1" applyAlignment="1">
      <alignment horizontal="left"/>
    </xf>
    <xf numFmtId="43" fontId="8" fillId="0" borderId="1" xfId="1" applyFont="1" applyFill="1" applyBorder="1" applyAlignment="1">
      <alignment horizontal="right"/>
    </xf>
    <xf numFmtId="164" fontId="7" fillId="0" borderId="1" xfId="1" applyNumberFormat="1" applyFont="1" applyFill="1" applyBorder="1" applyAlignment="1">
      <alignment horizontal="center"/>
    </xf>
    <xf numFmtId="14" fontId="6" fillId="0" borderId="1" xfId="0" applyNumberFormat="1" applyFont="1" applyBorder="1" applyAlignment="1">
      <alignment horizontal="right"/>
    </xf>
    <xf numFmtId="43" fontId="8" fillId="0" borderId="1" xfId="1" applyFont="1" applyFill="1" applyBorder="1" applyAlignment="1"/>
    <xf numFmtId="0" fontId="9" fillId="0" borderId="1" xfId="0" applyFont="1" applyBorder="1"/>
    <xf numFmtId="14" fontId="6" fillId="0" borderId="1" xfId="0" quotePrefix="1" applyNumberFormat="1" applyFont="1" applyBorder="1" applyAlignment="1">
      <alignment horizontal="right" vertical="top"/>
    </xf>
    <xf numFmtId="0" fontId="9" fillId="0" borderId="1" xfId="0" applyFont="1" applyBorder="1" applyAlignment="1">
      <alignment horizontal="left" vertical="top"/>
    </xf>
    <xf numFmtId="14" fontId="8" fillId="0" borderId="1" xfId="0" applyNumberFormat="1" applyFont="1" applyBorder="1" applyAlignment="1">
      <alignment horizontal="right" vertical="top"/>
    </xf>
    <xf numFmtId="43" fontId="6" fillId="0" borderId="1" xfId="1" applyFont="1" applyFill="1" applyBorder="1" applyAlignment="1">
      <alignment horizontal="right" vertical="top"/>
    </xf>
    <xf numFmtId="0" fontId="7" fillId="0" borderId="0" xfId="0" quotePrefix="1" applyFont="1" applyAlignment="1">
      <alignment horizontal="left"/>
    </xf>
    <xf numFmtId="43" fontId="6" fillId="0" borderId="0" xfId="1" applyFont="1" applyAlignment="1"/>
    <xf numFmtId="14" fontId="6" fillId="0" borderId="1" xfId="2" quotePrefix="1" applyNumberFormat="1" applyFont="1" applyBorder="1" applyAlignment="1">
      <alignment horizontal="right"/>
    </xf>
    <xf numFmtId="43" fontId="6" fillId="0" borderId="1" xfId="1" applyFont="1" applyFill="1" applyBorder="1" applyAlignment="1">
      <alignment horizontal="right"/>
    </xf>
    <xf numFmtId="164" fontId="7" fillId="0" borderId="1" xfId="1" applyNumberFormat="1" applyFont="1" applyBorder="1" applyAlignment="1">
      <alignment horizontal="center"/>
    </xf>
    <xf numFmtId="164" fontId="9" fillId="0" borderId="1" xfId="1" applyNumberFormat="1" applyFont="1" applyFill="1" applyBorder="1" applyAlignment="1">
      <alignment horizontal="center"/>
    </xf>
    <xf numFmtId="39" fontId="9" fillId="0" borderId="1" xfId="2" applyFont="1" applyBorder="1"/>
    <xf numFmtId="14" fontId="8" fillId="0" borderId="1" xfId="0" applyNumberFormat="1" applyFont="1" applyBorder="1" applyAlignment="1">
      <alignment horizontal="right"/>
    </xf>
    <xf numFmtId="49" fontId="10" fillId="0" borderId="1" xfId="0" applyNumberFormat="1" applyFont="1" applyBorder="1"/>
    <xf numFmtId="0" fontId="7" fillId="0" borderId="1" xfId="0" applyFont="1" applyBorder="1" applyAlignment="1">
      <alignment vertical="top"/>
    </xf>
    <xf numFmtId="43" fontId="8" fillId="0" borderId="1" xfId="1" applyFont="1" applyFill="1" applyBorder="1" applyAlignment="1">
      <alignment vertical="top"/>
    </xf>
    <xf numFmtId="164" fontId="7" fillId="0" borderId="1" xfId="1" applyNumberFormat="1" applyFont="1" applyBorder="1" applyAlignment="1">
      <alignment horizontal="center" vertical="top"/>
    </xf>
    <xf numFmtId="49" fontId="11" fillId="0" borderId="1" xfId="0" applyNumberFormat="1" applyFont="1" applyBorder="1" applyAlignment="1">
      <alignment vertical="top"/>
    </xf>
    <xf numFmtId="14" fontId="12" fillId="0" borderId="1" xfId="0" applyNumberFormat="1" applyFont="1" applyBorder="1" applyAlignment="1">
      <alignment horizontal="right" vertical="top"/>
    </xf>
    <xf numFmtId="43" fontId="12" fillId="0" borderId="1" xfId="1" applyFont="1" applyFill="1" applyBorder="1" applyAlignment="1">
      <alignment vertical="top"/>
    </xf>
    <xf numFmtId="14" fontId="6" fillId="0" borderId="1" xfId="2" quotePrefix="1" applyNumberFormat="1" applyFont="1" applyBorder="1" applyAlignment="1">
      <alignment horizontal="right" vertical="top"/>
    </xf>
    <xf numFmtId="164" fontId="9" fillId="0" borderId="1" xfId="1" applyNumberFormat="1" applyFont="1" applyFill="1" applyBorder="1" applyAlignment="1">
      <alignment horizontal="center" vertical="top"/>
    </xf>
    <xf numFmtId="39" fontId="9" fillId="0" borderId="1" xfId="2" applyFont="1" applyBorder="1" applyAlignment="1">
      <alignment vertical="top"/>
    </xf>
    <xf numFmtId="14" fontId="6" fillId="0" borderId="1" xfId="2" applyNumberFormat="1" applyFont="1" applyBorder="1" applyAlignment="1">
      <alignment horizontal="right" vertical="top"/>
    </xf>
    <xf numFmtId="164" fontId="9" fillId="0" borderId="1" xfId="1" applyNumberFormat="1" applyFont="1" applyBorder="1" applyAlignment="1">
      <alignment horizontal="center" vertical="top"/>
    </xf>
    <xf numFmtId="14" fontId="6" fillId="0" borderId="1" xfId="2" applyNumberFormat="1" applyFont="1" applyBorder="1" applyAlignment="1">
      <alignment horizontal="right"/>
    </xf>
    <xf numFmtId="164" fontId="9" fillId="0" borderId="1" xfId="1" applyNumberFormat="1" applyFont="1" applyBorder="1" applyAlignment="1">
      <alignment horizontal="center"/>
    </xf>
    <xf numFmtId="17" fontId="9" fillId="0" borderId="1" xfId="2" quotePrefix="1" applyNumberFormat="1" applyFont="1" applyBorder="1"/>
    <xf numFmtId="0" fontId="9" fillId="0" borderId="0" xfId="0" quotePrefix="1" applyFont="1" applyAlignment="1">
      <alignment horizontal="left"/>
    </xf>
    <xf numFmtId="0" fontId="13" fillId="0" borderId="0" xfId="0" applyFont="1"/>
    <xf numFmtId="14" fontId="6" fillId="0" borderId="1" xfId="0" applyNumberFormat="1" applyFont="1" applyBorder="1" applyAlignment="1">
      <alignment horizontal="right" vertical="top"/>
    </xf>
    <xf numFmtId="0" fontId="7" fillId="0" borderId="0" xfId="0" applyFont="1" applyAlignment="1">
      <alignment horizontal="left"/>
    </xf>
    <xf numFmtId="43" fontId="7" fillId="0" borderId="0" xfId="1" applyFont="1" applyBorder="1" applyAlignment="1"/>
    <xf numFmtId="165" fontId="5" fillId="0" borderId="0" xfId="1" applyNumberFormat="1" applyFont="1" applyAlignment="1"/>
    <xf numFmtId="0" fontId="5" fillId="0" borderId="0" xfId="0" applyFont="1"/>
    <xf numFmtId="0" fontId="6" fillId="0" borderId="0" xfId="0" applyFont="1"/>
    <xf numFmtId="165" fontId="6" fillId="0" borderId="0" xfId="1" applyNumberFormat="1" applyFont="1" applyAlignment="1"/>
    <xf numFmtId="165" fontId="6" fillId="0" borderId="0" xfId="1" applyNumberFormat="1" applyFont="1" applyFill="1" applyAlignment="1"/>
    <xf numFmtId="165" fontId="8" fillId="0" borderId="1" xfId="1" applyNumberFormat="1" applyFont="1" applyBorder="1" applyAlignment="1"/>
    <xf numFmtId="165" fontId="8" fillId="0" borderId="1" xfId="1" applyNumberFormat="1" applyFont="1" applyFill="1" applyBorder="1" applyAlignment="1"/>
    <xf numFmtId="165" fontId="6" fillId="0" borderId="1" xfId="1" applyNumberFormat="1" applyFont="1" applyBorder="1" applyAlignment="1"/>
    <xf numFmtId="43" fontId="8" fillId="2" borderId="1" xfId="1" applyFont="1" applyFill="1" applyBorder="1" applyAlignment="1"/>
    <xf numFmtId="43" fontId="6" fillId="0" borderId="1" xfId="1" applyFont="1" applyBorder="1" applyAlignment="1"/>
    <xf numFmtId="43" fontId="5" fillId="0" borderId="0" xfId="1" applyFont="1" applyFill="1" applyAlignment="1" applyProtection="1">
      <alignment horizontal="center" wrapText="1"/>
    </xf>
    <xf numFmtId="43" fontId="5" fillId="0" borderId="0" xfId="1" applyFont="1" applyAlignment="1"/>
    <xf numFmtId="43" fontId="6" fillId="0" borderId="0" xfId="1" applyFont="1" applyFill="1" applyAlignment="1"/>
    <xf numFmtId="43" fontId="0" fillId="0" borderId="0" xfId="1" applyFont="1"/>
    <xf numFmtId="0" fontId="0" fillId="3" borderId="0" xfId="0" applyFill="1"/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17" fillId="3" borderId="0" xfId="0" applyFont="1" applyFill="1" applyAlignment="1">
      <alignment horizontal="center" vertical="center"/>
    </xf>
    <xf numFmtId="0" fontId="0" fillId="6" borderId="0" xfId="0" applyFill="1" applyAlignment="1">
      <alignment vertical="center"/>
    </xf>
    <xf numFmtId="0" fontId="16" fillId="6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16" fillId="6" borderId="0" xfId="0" applyFont="1" applyFill="1" applyAlignment="1">
      <alignment horizontal="right" vertical="center"/>
    </xf>
    <xf numFmtId="0" fontId="18" fillId="6" borderId="0" xfId="0" applyFont="1" applyFill="1" applyAlignment="1">
      <alignment horizontal="center" vertical="center"/>
    </xf>
    <xf numFmtId="0" fontId="0" fillId="6" borderId="2" xfId="0" applyFill="1" applyBorder="1" applyAlignment="1">
      <alignment vertical="center"/>
    </xf>
    <xf numFmtId="0" fontId="19" fillId="6" borderId="0" xfId="0" applyFont="1" applyFill="1" applyAlignment="1">
      <alignment horizontal="center" vertical="center"/>
    </xf>
    <xf numFmtId="44" fontId="0" fillId="7" borderId="0" xfId="3" applyFont="1" applyFill="1" applyAlignment="1">
      <alignment vertical="center"/>
    </xf>
    <xf numFmtId="44" fontId="0" fillId="6" borderId="0" xfId="3" applyFont="1" applyFill="1" applyAlignment="1">
      <alignment vertical="center"/>
    </xf>
    <xf numFmtId="44" fontId="0" fillId="6" borderId="2" xfId="3" applyFont="1" applyFill="1" applyBorder="1" applyAlignment="1">
      <alignment vertical="center"/>
    </xf>
    <xf numFmtId="166" fontId="0" fillId="7" borderId="0" xfId="3" applyNumberFormat="1" applyFont="1" applyFill="1" applyAlignment="1">
      <alignment vertical="center"/>
    </xf>
    <xf numFmtId="166" fontId="0" fillId="6" borderId="0" xfId="3" applyNumberFormat="1" applyFont="1" applyFill="1" applyAlignment="1">
      <alignment vertical="center"/>
    </xf>
    <xf numFmtId="166" fontId="0" fillId="6" borderId="2" xfId="3" applyNumberFormat="1" applyFont="1" applyFill="1" applyBorder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0" fillId="0" borderId="0" xfId="0" quotePrefix="1"/>
    <xf numFmtId="0" fontId="0" fillId="6" borderId="0" xfId="0" applyFill="1"/>
    <xf numFmtId="14" fontId="0" fillId="3" borderId="0" xfId="0" applyNumberFormat="1" applyFill="1" applyAlignment="1">
      <alignment horizontal="right" vertical="center"/>
    </xf>
    <xf numFmtId="14" fontId="7" fillId="5" borderId="0" xfId="0" applyNumberFormat="1" applyFont="1" applyFill="1" applyAlignment="1">
      <alignment vertical="center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43" fontId="0" fillId="0" borderId="0" xfId="0" applyNumberFormat="1"/>
    <xf numFmtId="164" fontId="9" fillId="0" borderId="0" xfId="1" applyNumberFormat="1" applyFont="1" applyFill="1" applyBorder="1" applyAlignment="1">
      <alignment horizontal="center" vertical="top"/>
    </xf>
    <xf numFmtId="43" fontId="8" fillId="0" borderId="0" xfId="1" applyFont="1" applyBorder="1" applyAlignment="1"/>
    <xf numFmtId="0" fontId="0" fillId="6" borderId="0" xfId="0" applyFill="1" applyAlignment="1">
      <alignment horizontal="center" vertical="center"/>
    </xf>
    <xf numFmtId="44" fontId="0" fillId="9" borderId="0" xfId="3" applyFont="1" applyFill="1" applyAlignment="1">
      <alignment vertical="center"/>
    </xf>
    <xf numFmtId="44" fontId="0" fillId="8" borderId="0" xfId="3" applyFont="1" applyFill="1" applyAlignment="1">
      <alignment vertical="center"/>
    </xf>
    <xf numFmtId="44" fontId="16" fillId="10" borderId="0" xfId="3" applyFont="1" applyFill="1" applyAlignment="1">
      <alignment vertical="center"/>
    </xf>
    <xf numFmtId="14" fontId="0" fillId="0" borderId="0" xfId="0" applyNumberFormat="1"/>
    <xf numFmtId="0" fontId="16" fillId="6" borderId="0" xfId="0" applyFont="1" applyFill="1" applyAlignment="1">
      <alignment horizontal="center" vertical="center"/>
    </xf>
    <xf numFmtId="44" fontId="0" fillId="0" borderId="0" xfId="0" applyNumberFormat="1"/>
    <xf numFmtId="2" fontId="0" fillId="0" borderId="0" xfId="0" applyNumberFormat="1"/>
    <xf numFmtId="14" fontId="7" fillId="0" borderId="0" xfId="0" applyNumberFormat="1" applyFont="1" applyAlignment="1" applyProtection="1">
      <alignment vertical="center"/>
      <protection locked="0"/>
    </xf>
    <xf numFmtId="0" fontId="7" fillId="0" borderId="0" xfId="0" applyFont="1"/>
    <xf numFmtId="14" fontId="8" fillId="0" borderId="0" xfId="0" applyNumberFormat="1" applyFont="1"/>
    <xf numFmtId="165" fontId="8" fillId="0" borderId="0" xfId="1" applyNumberFormat="1" applyFont="1" applyBorder="1" applyAlignment="1"/>
    <xf numFmtId="0" fontId="18" fillId="6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7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44" fontId="0" fillId="5" borderId="0" xfId="3" applyFont="1" applyFill="1" applyAlignment="1">
      <alignment horizontal="center" vertical="center"/>
    </xf>
    <xf numFmtId="44" fontId="0" fillId="0" borderId="0" xfId="3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left" vertical="center" wrapText="1"/>
    </xf>
    <xf numFmtId="0" fontId="0" fillId="5" borderId="0" xfId="0" applyFill="1" applyAlignment="1">
      <alignment horizontal="center" vertical="center"/>
    </xf>
    <xf numFmtId="0" fontId="9" fillId="0" borderId="1" xfId="0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</cellXfs>
  <cellStyles count="6">
    <cellStyle name="Comma" xfId="1" builtinId="3"/>
    <cellStyle name="Currency" xfId="3" builtinId="4"/>
    <cellStyle name="Normal" xfId="0" builtinId="0"/>
    <cellStyle name="Normal 2" xfId="2" xr:uid="{515D93A6-7525-4755-ADEE-6EC219418AE5}"/>
    <cellStyle name="Normal 2 2" xfId="5" xr:uid="{08E8786D-71C5-4798-BFCE-3B97EEF48583}"/>
    <cellStyle name="Normal 29" xfId="4" xr:uid="{EC2C65A5-23A4-4D0C-8403-2212891770E9}"/>
  </cellStyles>
  <dxfs count="0"/>
  <tableStyles count="0" defaultTableStyle="TableStyleMedium2" defaultPivotStyle="PivotStyleLight16"/>
  <colors>
    <mruColors>
      <color rgb="FFCFF9DC"/>
      <color rgb="FFBFEAB8"/>
      <color rgb="FFE1FBE9"/>
      <color rgb="FFFFE7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9</xdr:col>
          <xdr:colOff>9525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Balance for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23</xdr:row>
          <xdr:rowOff>180975</xdr:rowOff>
        </xdr:from>
        <xdr:to>
          <xdr:col>8</xdr:col>
          <xdr:colOff>9525</xdr:colOff>
          <xdr:row>26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New Year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180975</xdr:rowOff>
        </xdr:from>
        <xdr:to>
          <xdr:col>9</xdr:col>
          <xdr:colOff>9525</xdr:colOff>
          <xdr:row>3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JE for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11</xdr:row>
          <xdr:rowOff>0</xdr:rowOff>
        </xdr:from>
        <xdr:to>
          <xdr:col>9</xdr:col>
          <xdr:colOff>9525</xdr:colOff>
          <xdr:row>12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Current Item - Only Changes Monthly Depreciation to JE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10</xdr:row>
          <xdr:rowOff>180975</xdr:rowOff>
        </xdr:from>
        <xdr:to>
          <xdr:col>9</xdr:col>
          <xdr:colOff>285750</xdr:colOff>
          <xdr:row>12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Current Values - Only Changes Monthly Depreciation to JE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11</xdr:row>
          <xdr:rowOff>0</xdr:rowOff>
        </xdr:from>
        <xdr:to>
          <xdr:col>9</xdr:col>
          <xdr:colOff>409575</xdr:colOff>
          <xdr:row>12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Current Item - Only Changes Monthly Depreciation to JE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0788E-E067-4CDC-AA3E-57F368E3B71E}">
  <sheetPr codeName="Sheet1"/>
  <dimension ref="A1:M27"/>
  <sheetViews>
    <sheetView tabSelected="1" zoomScale="130" zoomScaleNormal="130" workbookViewId="0">
      <selection activeCell="H15" sqref="H15"/>
    </sheetView>
  </sheetViews>
  <sheetFormatPr defaultRowHeight="15" x14ac:dyDescent="0.25"/>
  <cols>
    <col min="3" max="3" width="13.85546875" customWidth="1"/>
    <col min="6" max="6" width="16.28515625" customWidth="1"/>
    <col min="8" max="8" width="16.42578125" customWidth="1"/>
    <col min="10" max="10" width="16.42578125" customWidth="1"/>
    <col min="13" max="13" width="15.140625" bestFit="1" customWidth="1"/>
  </cols>
  <sheetData>
    <row r="1" spans="1:13" ht="21" x14ac:dyDescent="0.25">
      <c r="A1" s="78"/>
      <c r="B1" s="115" t="s">
        <v>110</v>
      </c>
      <c r="C1" s="115"/>
      <c r="D1" s="115"/>
      <c r="E1" s="115"/>
      <c r="F1" s="115"/>
      <c r="G1" s="115"/>
      <c r="H1" s="115"/>
      <c r="I1" s="115"/>
      <c r="J1" s="82"/>
      <c r="K1" s="78"/>
    </row>
    <row r="2" spans="1:13" ht="21" x14ac:dyDescent="0.25">
      <c r="A2" s="78"/>
      <c r="B2" s="115"/>
      <c r="C2" s="115"/>
      <c r="D2" s="115"/>
      <c r="E2" s="115"/>
      <c r="F2" s="115"/>
      <c r="G2" s="115"/>
      <c r="H2" s="115"/>
      <c r="I2" s="115"/>
      <c r="J2" s="82"/>
      <c r="K2" s="78"/>
    </row>
    <row r="3" spans="1:13" ht="21" x14ac:dyDescent="0.25">
      <c r="A3" s="78"/>
      <c r="B3" s="93"/>
      <c r="C3" s="81" t="s">
        <v>87</v>
      </c>
      <c r="D3" s="96" t="s">
        <v>151</v>
      </c>
      <c r="E3" s="78"/>
      <c r="F3" s="82"/>
      <c r="G3" s="116" t="s">
        <v>109</v>
      </c>
      <c r="H3" s="116"/>
      <c r="I3" s="116"/>
      <c r="J3" s="84"/>
      <c r="K3" s="78"/>
    </row>
    <row r="4" spans="1:13" x14ac:dyDescent="0.25">
      <c r="A4" s="78"/>
      <c r="B4" s="79" t="s">
        <v>94</v>
      </c>
      <c r="C4" s="79" t="s">
        <v>95</v>
      </c>
      <c r="D4" s="78"/>
      <c r="E4" s="78"/>
      <c r="F4" s="108" t="s">
        <v>106</v>
      </c>
      <c r="G4" s="108"/>
      <c r="H4" s="108" t="s">
        <v>138</v>
      </c>
      <c r="I4" s="103"/>
      <c r="J4" s="108" t="s">
        <v>139</v>
      </c>
      <c r="K4" s="78"/>
    </row>
    <row r="5" spans="1:13" x14ac:dyDescent="0.25">
      <c r="A5" s="80"/>
      <c r="B5" s="80" t="s">
        <v>119</v>
      </c>
      <c r="C5" s="80" t="s">
        <v>12</v>
      </c>
      <c r="D5" s="80"/>
      <c r="E5" s="80"/>
      <c r="F5" s="85">
        <f>IF(VLOOKUP($D$3,'BS History'!$A$1:$T$14,3)=0,"",VLOOKUP($D$3,'BS History'!$A$1:$T$14,3))</f>
        <v>563153.3125</v>
      </c>
      <c r="G5" s="88"/>
      <c r="H5" s="85">
        <v>563153.32999999996</v>
      </c>
      <c r="I5" s="85"/>
      <c r="J5" s="85">
        <f>IFERROR(F5-H5,"N/A")</f>
        <v>-1.7499999958090484E-2</v>
      </c>
      <c r="K5" s="80"/>
    </row>
    <row r="6" spans="1:13" x14ac:dyDescent="0.25">
      <c r="A6" s="78"/>
      <c r="B6" s="78" t="s">
        <v>120</v>
      </c>
      <c r="C6" s="78" t="s">
        <v>111</v>
      </c>
      <c r="D6" s="78"/>
      <c r="E6" s="78"/>
      <c r="F6" s="86">
        <f>IF(VLOOKUP($D$3,'BS History'!$A$1:$T$14,4)=0,"",VLOOKUP($D$3,'BS History'!$A$1:$T$14,4))</f>
        <v>-563153.3125</v>
      </c>
      <c r="G6" s="89"/>
      <c r="H6" s="86">
        <v>-563153.32999999996</v>
      </c>
      <c r="I6" s="86"/>
      <c r="J6" s="86">
        <f t="shared" ref="J6:J22" si="0">IFERROR(F6-H6,"N/A")</f>
        <v>1.7499999958090484E-2</v>
      </c>
      <c r="K6" s="78"/>
    </row>
    <row r="7" spans="1:13" x14ac:dyDescent="0.25">
      <c r="A7" s="80"/>
      <c r="B7" s="80" t="s">
        <v>121</v>
      </c>
      <c r="C7" s="80" t="s">
        <v>14</v>
      </c>
      <c r="D7" s="80"/>
      <c r="E7" s="80"/>
      <c r="F7" s="85">
        <f>IF(VLOOKUP($D$3,'BS History'!$A$1:$T$14,5)=0,"",VLOOKUP($D$3,'BS History'!$A$1:$T$14,5))</f>
        <v>238794.984375</v>
      </c>
      <c r="G7" s="88"/>
      <c r="H7" s="85">
        <v>238794.98</v>
      </c>
      <c r="I7" s="85"/>
      <c r="J7" s="85">
        <f t="shared" si="0"/>
        <v>4.374999989522621E-3</v>
      </c>
      <c r="K7" s="80"/>
    </row>
    <row r="8" spans="1:13" x14ac:dyDescent="0.25">
      <c r="A8" s="78"/>
      <c r="B8" s="78" t="s">
        <v>122</v>
      </c>
      <c r="C8" s="78" t="s">
        <v>104</v>
      </c>
      <c r="D8" s="78"/>
      <c r="E8" s="78"/>
      <c r="F8" s="86">
        <f>IF(VLOOKUP($D$3,'BS History'!$A$1:$T$14,6)=0,"",VLOOKUP($D$3,'BS History'!$A$1:$T$14,6))</f>
        <v>-181138.546875</v>
      </c>
      <c r="G8" s="89"/>
      <c r="H8" s="86">
        <v>-181138.75</v>
      </c>
      <c r="I8" s="86"/>
      <c r="J8" s="86">
        <f t="shared" si="0"/>
        <v>0.203125</v>
      </c>
      <c r="K8" s="78"/>
    </row>
    <row r="9" spans="1:13" x14ac:dyDescent="0.25">
      <c r="A9" s="80"/>
      <c r="B9" s="80" t="s">
        <v>123</v>
      </c>
      <c r="C9" s="80" t="s">
        <v>114</v>
      </c>
      <c r="D9" s="80"/>
      <c r="E9" s="80"/>
      <c r="F9" s="85">
        <f>IF(VLOOKUP($D$3,'BS History'!$A$1:$T$14,7)=0,"",VLOOKUP($D$3,'BS History'!$A$1:$T$14,7))</f>
        <v>430991.6875</v>
      </c>
      <c r="G9" s="88"/>
      <c r="H9" s="85">
        <v>430991.7</v>
      </c>
      <c r="I9" s="85"/>
      <c r="J9" s="85">
        <f t="shared" si="0"/>
        <v>-1.2500000011641532E-2</v>
      </c>
      <c r="K9" s="80"/>
    </row>
    <row r="10" spans="1:13" x14ac:dyDescent="0.25">
      <c r="A10" s="78"/>
      <c r="B10" s="78" t="s">
        <v>124</v>
      </c>
      <c r="C10" s="78" t="s">
        <v>98</v>
      </c>
      <c r="D10" s="78"/>
      <c r="E10" s="78"/>
      <c r="F10" s="86">
        <f>IF(VLOOKUP($D$3,'BS History'!$A$1:$T$14,8)=0,"",VLOOKUP($D$3,'BS History'!$A$1:$T$14,8))</f>
        <v>-250476.5625</v>
      </c>
      <c r="G10" s="89"/>
      <c r="H10" s="86">
        <v>-250476.55</v>
      </c>
      <c r="I10" s="86"/>
      <c r="J10" s="86">
        <f t="shared" si="0"/>
        <v>-1.2500000011641532E-2</v>
      </c>
      <c r="K10" s="78"/>
    </row>
    <row r="11" spans="1:13" x14ac:dyDescent="0.25">
      <c r="A11" s="80"/>
      <c r="B11" s="80" t="s">
        <v>125</v>
      </c>
      <c r="C11" s="80" t="s">
        <v>115</v>
      </c>
      <c r="D11" s="80"/>
      <c r="E11" s="80"/>
      <c r="F11" s="85">
        <f>IF(VLOOKUP($D$3,'BS History'!$A$1:$T$14,9)=0,"",VLOOKUP($D$3,'BS History'!$A$1:$T$14,9))</f>
        <v>29242.060546875</v>
      </c>
      <c r="G11" s="88"/>
      <c r="H11" s="85">
        <v>29242.06</v>
      </c>
      <c r="I11" s="85"/>
      <c r="J11" s="85">
        <f t="shared" si="0"/>
        <v>5.4687499869032763E-4</v>
      </c>
      <c r="K11" s="80"/>
      <c r="M11" s="109"/>
    </row>
    <row r="12" spans="1:13" x14ac:dyDescent="0.25">
      <c r="A12" s="78"/>
      <c r="B12" s="78" t="s">
        <v>126</v>
      </c>
      <c r="C12" s="78" t="s">
        <v>116</v>
      </c>
      <c r="D12" s="78"/>
      <c r="E12" s="78"/>
      <c r="F12" s="86">
        <f>IF(VLOOKUP($D$3,'BS History'!$A$1:$T$14,10)=0,"",VLOOKUP($D$3,'BS History'!$A$1:$T$14,10))</f>
        <v>-20722.55078125</v>
      </c>
      <c r="G12" s="89"/>
      <c r="H12" s="86">
        <v>-20722.599999999999</v>
      </c>
      <c r="I12" s="86"/>
      <c r="J12" s="86">
        <f t="shared" si="0"/>
        <v>4.9218749998544808E-2</v>
      </c>
      <c r="K12" s="78"/>
    </row>
    <row r="13" spans="1:13" x14ac:dyDescent="0.25">
      <c r="A13" s="80"/>
      <c r="B13" s="80" t="s">
        <v>127</v>
      </c>
      <c r="C13" s="80" t="s">
        <v>40</v>
      </c>
      <c r="D13" s="80"/>
      <c r="E13" s="80"/>
      <c r="F13" s="85">
        <f>IF(VLOOKUP($D$3,'BS History'!$A$1:$T$14,11)=0,"",VLOOKUP($D$3,'BS History'!$A$1:$T$14,11))</f>
        <v>1172406</v>
      </c>
      <c r="G13" s="88"/>
      <c r="H13" s="85">
        <v>1172405.78</v>
      </c>
      <c r="I13" s="85"/>
      <c r="J13" s="85">
        <f t="shared" si="0"/>
        <v>0.21999999997206032</v>
      </c>
      <c r="K13" s="80"/>
    </row>
    <row r="14" spans="1:13" x14ac:dyDescent="0.25">
      <c r="A14" s="78"/>
      <c r="B14" s="78" t="s">
        <v>128</v>
      </c>
      <c r="C14" s="78" t="s">
        <v>102</v>
      </c>
      <c r="D14" s="78"/>
      <c r="E14" s="78"/>
      <c r="F14" s="86">
        <f>IF(VLOOKUP($D$3,'BS History'!$A$1:$T$14,12)=0,"",VLOOKUP($D$3,'BS History'!$A$1:$T$14,12))</f>
        <v>-1030897.5</v>
      </c>
      <c r="G14" s="89"/>
      <c r="H14" s="86">
        <v>-1030897.82</v>
      </c>
      <c r="I14" s="86"/>
      <c r="J14" s="86">
        <f t="shared" si="0"/>
        <v>0.31999999994877726</v>
      </c>
      <c r="K14" s="78"/>
    </row>
    <row r="15" spans="1:13" x14ac:dyDescent="0.25">
      <c r="A15" s="80"/>
      <c r="B15" s="80" t="s">
        <v>129</v>
      </c>
      <c r="C15" s="80" t="s">
        <v>70</v>
      </c>
      <c r="D15" s="80"/>
      <c r="E15" s="80"/>
      <c r="F15" s="85">
        <f>IF(VLOOKUP($D$3,'BS History'!$A$1:$T$14,13)=0,"",VLOOKUP($D$3,'BS History'!$A$1:$T$14,13))</f>
        <v>11403</v>
      </c>
      <c r="G15" s="88"/>
      <c r="H15" s="85">
        <v>11403</v>
      </c>
      <c r="I15" s="85"/>
      <c r="J15" s="85">
        <f t="shared" si="0"/>
        <v>0</v>
      </c>
      <c r="K15" s="80"/>
    </row>
    <row r="16" spans="1:13" x14ac:dyDescent="0.25">
      <c r="A16" s="78"/>
      <c r="B16" s="78" t="s">
        <v>130</v>
      </c>
      <c r="C16" s="78" t="s">
        <v>97</v>
      </c>
      <c r="D16" s="78"/>
      <c r="E16" s="78"/>
      <c r="F16" s="86">
        <f>IF(VLOOKUP($D$3,'BS History'!$A$1:$T$14,14)=0,"",VLOOKUP($D$3,'BS History'!$A$1:$T$14,14))</f>
        <v>-11403</v>
      </c>
      <c r="G16" s="89"/>
      <c r="H16" s="86">
        <v>-11403</v>
      </c>
      <c r="I16" s="86"/>
      <c r="J16" s="86">
        <f t="shared" si="0"/>
        <v>0</v>
      </c>
      <c r="K16" s="78"/>
    </row>
    <row r="17" spans="1:11" x14ac:dyDescent="0.25">
      <c r="A17" s="80"/>
      <c r="B17" s="80" t="s">
        <v>131</v>
      </c>
      <c r="C17" s="80" t="s">
        <v>117</v>
      </c>
      <c r="D17" s="80"/>
      <c r="E17" s="80"/>
      <c r="F17" s="85">
        <f>IF(VLOOKUP($D$3,'BS History'!$A$1:$T$14,15)=0,"",VLOOKUP($D$3,'BS History'!$A$1:$T$14,15))</f>
        <v>14</v>
      </c>
      <c r="G17" s="88"/>
      <c r="H17" s="85">
        <v>14</v>
      </c>
      <c r="I17" s="85"/>
      <c r="J17" s="85">
        <f t="shared" si="0"/>
        <v>0</v>
      </c>
      <c r="K17" s="80"/>
    </row>
    <row r="18" spans="1:11" x14ac:dyDescent="0.25">
      <c r="A18" s="78"/>
      <c r="B18" s="78" t="s">
        <v>132</v>
      </c>
      <c r="C18" s="78" t="s">
        <v>118</v>
      </c>
      <c r="D18" s="78"/>
      <c r="E18" s="78"/>
      <c r="F18" s="86">
        <f>IF(VLOOKUP($D$3,'BS History'!$A$1:$T$14,16)=0,"",VLOOKUP($D$3,'BS History'!$A$1:$T$14,16))</f>
        <v>161</v>
      </c>
      <c r="G18" s="89"/>
      <c r="H18" s="86">
        <v>161</v>
      </c>
      <c r="I18" s="86"/>
      <c r="J18" s="86">
        <f t="shared" si="0"/>
        <v>0</v>
      </c>
      <c r="K18" s="78"/>
    </row>
    <row r="19" spans="1:11" x14ac:dyDescent="0.25">
      <c r="A19" s="80"/>
      <c r="B19" s="80" t="s">
        <v>133</v>
      </c>
      <c r="C19" s="80" t="s">
        <v>112</v>
      </c>
      <c r="D19" s="80"/>
      <c r="E19" s="80"/>
      <c r="F19" s="85">
        <f>IF(VLOOKUP($D$3,'BS History'!$A$1:$T$14,17)=0,"",VLOOKUP($D$3,'BS History'!$A$1:$T$14,17))</f>
        <v>-161</v>
      </c>
      <c r="G19" s="88"/>
      <c r="H19" s="85">
        <v>-161</v>
      </c>
      <c r="I19" s="85"/>
      <c r="J19" s="85">
        <f t="shared" si="0"/>
        <v>0</v>
      </c>
      <c r="K19" s="80"/>
    </row>
    <row r="20" spans="1:11" x14ac:dyDescent="0.25">
      <c r="A20" s="78"/>
      <c r="B20" s="78" t="s">
        <v>134</v>
      </c>
      <c r="C20" s="78" t="s">
        <v>113</v>
      </c>
      <c r="D20" s="78"/>
      <c r="E20" s="78"/>
      <c r="F20" s="86">
        <f>IF(VLOOKUP($D$3,'BS History'!$A$1:$T$14,18)=0,"",VLOOKUP($D$3,'BS History'!$A$1:$T$14,18))</f>
        <v>-14</v>
      </c>
      <c r="G20" s="89"/>
      <c r="H20" s="86">
        <v>-14</v>
      </c>
      <c r="I20" s="86"/>
      <c r="J20" s="86">
        <f t="shared" si="0"/>
        <v>0</v>
      </c>
      <c r="K20" s="78"/>
    </row>
    <row r="21" spans="1:11" x14ac:dyDescent="0.25">
      <c r="A21" s="80"/>
      <c r="B21" s="80" t="s">
        <v>135</v>
      </c>
      <c r="C21" s="80" t="s">
        <v>71</v>
      </c>
      <c r="D21" s="80"/>
      <c r="E21" s="80"/>
      <c r="F21" s="85">
        <f>IF(VLOOKUP($D$3,'BS History'!$A$1:$T$14,19)=0,"",VLOOKUP($D$3,'BS History'!$A$1:$T$14,19))</f>
        <v>140000</v>
      </c>
      <c r="G21" s="88"/>
      <c r="H21" s="85">
        <v>140000</v>
      </c>
      <c r="I21" s="85"/>
      <c r="J21" s="85">
        <f t="shared" si="0"/>
        <v>0</v>
      </c>
      <c r="K21" s="80"/>
    </row>
    <row r="22" spans="1:11" x14ac:dyDescent="0.25">
      <c r="A22" s="78"/>
      <c r="B22" s="83" t="s">
        <v>136</v>
      </c>
      <c r="C22" s="83" t="s">
        <v>73</v>
      </c>
      <c r="D22" s="83"/>
      <c r="E22" s="83"/>
      <c r="F22" s="87">
        <f>IF(VLOOKUP($D$3,'BS History'!$A$1:$T$14,20)=0,"",VLOOKUP($D$3,'BS History'!$A$1:$T$14,20))</f>
        <v>58910.5703125</v>
      </c>
      <c r="G22" s="90"/>
      <c r="H22" s="87">
        <v>58910.57</v>
      </c>
      <c r="I22" s="87"/>
      <c r="J22" s="87">
        <f t="shared" si="0"/>
        <v>3.125000002910383E-4</v>
      </c>
      <c r="K22" s="78"/>
    </row>
    <row r="23" spans="1:11" x14ac:dyDescent="0.25">
      <c r="A23" s="80"/>
      <c r="B23" s="80" t="s">
        <v>137</v>
      </c>
      <c r="C23" s="80"/>
      <c r="D23" s="80"/>
      <c r="E23" s="80"/>
      <c r="F23" s="85">
        <f>SUM(F5:F22)</f>
        <v>587110.142578125</v>
      </c>
      <c r="G23" s="88"/>
      <c r="H23" s="85">
        <f>SUM(H5:H22)</f>
        <v>587109.37000000011</v>
      </c>
      <c r="I23" s="85"/>
      <c r="J23" s="85">
        <f t="shared" ref="J23" si="1">F23-H23</f>
        <v>0.77257812488824129</v>
      </c>
      <c r="K23" s="80"/>
    </row>
    <row r="24" spans="1:11" x14ac:dyDescent="0.25">
      <c r="A24" s="78"/>
      <c r="B24" s="78"/>
      <c r="C24" s="78"/>
      <c r="D24" s="78"/>
      <c r="E24" s="78"/>
      <c r="F24" s="78"/>
      <c r="G24" s="78"/>
      <c r="H24" s="78"/>
      <c r="I24" s="78"/>
      <c r="J24" s="78"/>
      <c r="K24" s="78"/>
    </row>
    <row r="25" spans="1:11" x14ac:dyDescent="0.25">
      <c r="A25" s="80"/>
      <c r="B25" s="80"/>
      <c r="C25" s="80"/>
      <c r="D25" s="117" t="s">
        <v>154</v>
      </c>
      <c r="E25" s="117"/>
      <c r="F25" s="117"/>
      <c r="G25" s="117"/>
      <c r="H25" s="80"/>
      <c r="I25" s="80"/>
      <c r="J25" s="80"/>
      <c r="K25" s="80"/>
    </row>
    <row r="26" spans="1:11" x14ac:dyDescent="0.25">
      <c r="A26" s="78"/>
      <c r="B26" s="78"/>
      <c r="C26" s="78"/>
      <c r="D26" s="117"/>
      <c r="E26" s="117"/>
      <c r="F26" s="117"/>
      <c r="G26" s="117"/>
      <c r="H26" s="78"/>
      <c r="I26" s="78"/>
      <c r="J26" s="78"/>
      <c r="K26" s="78"/>
    </row>
    <row r="27" spans="1:1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</row>
  </sheetData>
  <mergeCells count="3">
    <mergeCell ref="B1:I2"/>
    <mergeCell ref="G3:I3"/>
    <mergeCell ref="D25:G2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ookup_Balanc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9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New_Year_Sheet">
                <anchor moveWithCells="1" sizeWithCells="1">
                  <from>
                    <xdr:col>2</xdr:col>
                    <xdr:colOff>914400</xdr:colOff>
                    <xdr:row>23</xdr:row>
                    <xdr:rowOff>180975</xdr:rowOff>
                  </from>
                  <to>
                    <xdr:col>8</xdr:col>
                    <xdr:colOff>9525</xdr:colOff>
                    <xdr:row>26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1D20F1A-E7F1-4F4F-B7C4-09367CF76917}">
          <x14:formula1>
            <xm:f>'Months Accts'!$A$3:$A$14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D05B5-2476-418E-BC4A-BFFCE7FDDB4A}">
  <sheetPr codeName="Sheet2"/>
  <dimension ref="A1:J21"/>
  <sheetViews>
    <sheetView zoomScale="175" zoomScaleNormal="175" workbookViewId="0">
      <selection activeCell="F18" sqref="F18"/>
    </sheetView>
  </sheetViews>
  <sheetFormatPr defaultColWidth="9.140625" defaultRowHeight="15" x14ac:dyDescent="0.25"/>
  <cols>
    <col min="1" max="1" width="7.28515625" style="75" customWidth="1"/>
    <col min="2" max="2" width="9.7109375" style="75" bestFit="1" customWidth="1"/>
    <col min="3" max="3" width="13.85546875" style="75" customWidth="1"/>
    <col min="4" max="5" width="9.140625" style="75"/>
    <col min="6" max="7" width="11.42578125" style="75" customWidth="1"/>
    <col min="8" max="16384" width="9.140625" style="75"/>
  </cols>
  <sheetData>
    <row r="1" spans="1:10" x14ac:dyDescent="0.25">
      <c r="A1" s="78"/>
      <c r="B1" s="115" t="s">
        <v>105</v>
      </c>
      <c r="C1" s="115"/>
      <c r="D1" s="115"/>
      <c r="E1" s="115"/>
      <c r="F1" s="115"/>
      <c r="G1" s="115"/>
      <c r="H1" s="115"/>
      <c r="I1" s="115"/>
      <c r="J1" s="78"/>
    </row>
    <row r="2" spans="1:10" x14ac:dyDescent="0.25">
      <c r="A2" s="78"/>
      <c r="B2" s="115"/>
      <c r="C2" s="115"/>
      <c r="D2" s="115"/>
      <c r="E2" s="115"/>
      <c r="F2" s="115"/>
      <c r="G2" s="115"/>
      <c r="H2" s="115"/>
      <c r="I2" s="115"/>
      <c r="J2" s="78"/>
    </row>
    <row r="3" spans="1:10" ht="14.25" customHeight="1" x14ac:dyDescent="0.25">
      <c r="A3" s="78"/>
      <c r="B3" s="93"/>
      <c r="C3" s="81" t="s">
        <v>87</v>
      </c>
      <c r="D3" s="97" t="s">
        <v>151</v>
      </c>
      <c r="E3" s="78"/>
      <c r="F3" s="82"/>
      <c r="G3" s="116" t="s">
        <v>108</v>
      </c>
      <c r="H3" s="116"/>
      <c r="I3" s="116"/>
      <c r="J3" s="78"/>
    </row>
    <row r="4" spans="1:10" x14ac:dyDescent="0.25">
      <c r="A4" s="78"/>
      <c r="B4" s="79" t="s">
        <v>94</v>
      </c>
      <c r="C4" s="79" t="s">
        <v>95</v>
      </c>
      <c r="D4" s="78"/>
      <c r="E4" s="78"/>
      <c r="F4" s="81" t="s">
        <v>106</v>
      </c>
      <c r="G4" s="81" t="s">
        <v>107</v>
      </c>
      <c r="H4" s="78"/>
      <c r="I4" s="78"/>
      <c r="J4" s="78"/>
    </row>
    <row r="5" spans="1:10" x14ac:dyDescent="0.25">
      <c r="A5" s="80"/>
      <c r="B5" s="80">
        <v>80200</v>
      </c>
      <c r="C5" s="80" t="s">
        <v>103</v>
      </c>
      <c r="D5" s="80"/>
      <c r="E5" s="80"/>
      <c r="F5" s="104">
        <f>IF(VLOOKUP($D$3,'JE History'!$A$1:$T$14,3)=0,"",VLOOKUP($D$3,'JE History'!$A$1:$T$14,3))</f>
        <v>510.25</v>
      </c>
      <c r="G5" s="104"/>
      <c r="H5" s="80"/>
      <c r="I5" s="80"/>
      <c r="J5" s="80"/>
    </row>
    <row r="6" spans="1:10" x14ac:dyDescent="0.25">
      <c r="A6" s="78"/>
      <c r="B6" s="78">
        <v>15299</v>
      </c>
      <c r="C6" s="78" t="s">
        <v>104</v>
      </c>
      <c r="D6" s="78"/>
      <c r="E6" s="78"/>
      <c r="F6" s="105"/>
      <c r="G6" s="105">
        <f>IF(VLOOKUP($D$3,'JE History'!$A$1:$T$14,4)=0,"",VLOOKUP($D$3,'JE History'!$A$1:$T$14,4))</f>
        <v>510.25</v>
      </c>
      <c r="H6" s="78"/>
      <c r="I6" s="78"/>
      <c r="J6" s="78"/>
    </row>
    <row r="7" spans="1:10" x14ac:dyDescent="0.25">
      <c r="A7" s="80"/>
      <c r="B7" s="80"/>
      <c r="C7" s="80"/>
      <c r="D7" s="80"/>
      <c r="E7" s="80"/>
      <c r="F7" s="85"/>
      <c r="G7" s="85"/>
      <c r="H7" s="80"/>
      <c r="I7" s="80"/>
      <c r="J7" s="80"/>
    </row>
    <row r="8" spans="1:10" x14ac:dyDescent="0.25">
      <c r="A8" s="78"/>
      <c r="B8" s="78">
        <v>80300</v>
      </c>
      <c r="C8" s="78" t="s">
        <v>200</v>
      </c>
      <c r="D8" s="78"/>
      <c r="E8" s="78"/>
      <c r="F8" s="105">
        <f>IF(VLOOKUP($D$3,'JE History'!$A$1:$T$14,5)=0,"",VLOOKUP($D$3,'JE History'!$A$1:$T$14,5))</f>
        <v>1929.6600341796875</v>
      </c>
      <c r="G8" s="105"/>
      <c r="H8" s="78"/>
      <c r="I8" s="78"/>
      <c r="J8" s="78"/>
    </row>
    <row r="9" spans="1:10" x14ac:dyDescent="0.25">
      <c r="A9" s="80"/>
      <c r="B9" s="80">
        <v>15399</v>
      </c>
      <c r="C9" s="80" t="s">
        <v>199</v>
      </c>
      <c r="D9" s="80"/>
      <c r="E9" s="80"/>
      <c r="F9" s="104"/>
      <c r="G9" s="104">
        <f>IF(VLOOKUP($D$3,'JE History'!$A$1:$T$14,6)=0,"",VLOOKUP($D$3,'JE History'!$A$1:$T$14,6))</f>
        <v>1929.6600341796875</v>
      </c>
      <c r="H9" s="80"/>
      <c r="I9" s="80"/>
      <c r="J9" s="80"/>
    </row>
    <row r="10" spans="1:10" x14ac:dyDescent="0.25">
      <c r="A10" s="78"/>
      <c r="B10" s="78"/>
      <c r="C10" s="78"/>
      <c r="D10" s="78"/>
      <c r="E10" s="78"/>
      <c r="F10" s="86"/>
      <c r="G10" s="86"/>
      <c r="H10" s="78"/>
      <c r="I10" s="78"/>
      <c r="J10" s="78"/>
    </row>
    <row r="11" spans="1:10" x14ac:dyDescent="0.25">
      <c r="A11" s="80"/>
      <c r="B11" s="80">
        <v>80400</v>
      </c>
      <c r="C11" s="80" t="s">
        <v>99</v>
      </c>
      <c r="D11" s="80"/>
      <c r="E11" s="80"/>
      <c r="F11" s="104">
        <f>IF(VLOOKUP($D$3,'JE History'!$A$1:$T$14,7)=0,"",VLOOKUP($D$3,'JE History'!$A$1:$T$14,7))</f>
        <v>69.910003662109375</v>
      </c>
      <c r="G11" s="104"/>
      <c r="H11" s="80"/>
      <c r="I11" s="80"/>
      <c r="J11" s="80"/>
    </row>
    <row r="12" spans="1:10" x14ac:dyDescent="0.25">
      <c r="A12" s="78"/>
      <c r="B12" s="78">
        <v>15499</v>
      </c>
      <c r="C12" s="78" t="s">
        <v>100</v>
      </c>
      <c r="D12" s="78"/>
      <c r="E12" s="78"/>
      <c r="F12" s="105"/>
      <c r="G12" s="105">
        <f>IF(VLOOKUP($D$3,'JE History'!$A$1:$T$14,8)=0,"",VLOOKUP($D$3,'JE History'!$A$1:$T$14,8))</f>
        <v>69.910003662109375</v>
      </c>
      <c r="H12" s="78"/>
      <c r="I12" s="78"/>
      <c r="J12" s="78"/>
    </row>
    <row r="13" spans="1:10" x14ac:dyDescent="0.25">
      <c r="A13" s="80"/>
      <c r="B13" s="80"/>
      <c r="C13" s="80"/>
      <c r="D13" s="80"/>
      <c r="E13" s="80"/>
      <c r="F13" s="85"/>
      <c r="G13" s="85"/>
      <c r="H13" s="80"/>
      <c r="I13" s="80"/>
      <c r="J13" s="80"/>
    </row>
    <row r="14" spans="1:10" x14ac:dyDescent="0.25">
      <c r="A14" s="78"/>
      <c r="B14" s="78">
        <v>80500</v>
      </c>
      <c r="C14" s="78" t="s">
        <v>101</v>
      </c>
      <c r="D14" s="78"/>
      <c r="E14" s="78"/>
      <c r="F14" s="105">
        <f>IF(VLOOKUP($D$3,'JE History'!$A$1:$T$14,9)=0,"",VLOOKUP($D$3,'JE History'!$A$1:$T$14,9))</f>
        <v>5909.35009765625</v>
      </c>
      <c r="G14" s="105"/>
      <c r="H14" s="78"/>
      <c r="I14" s="78"/>
      <c r="J14" s="78"/>
    </row>
    <row r="15" spans="1:10" x14ac:dyDescent="0.25">
      <c r="A15" s="80"/>
      <c r="B15" s="80">
        <v>15599</v>
      </c>
      <c r="C15" s="80" t="s">
        <v>102</v>
      </c>
      <c r="D15" s="80"/>
      <c r="E15" s="80"/>
      <c r="F15" s="104"/>
      <c r="G15" s="104">
        <f>IF(VLOOKUP($D$3,'JE History'!$A$1:$T$14,10)=0,"",VLOOKUP($D$3,'JE History'!$A$1:$T$14,10))</f>
        <v>5909.35009765625</v>
      </c>
      <c r="H15" s="80"/>
      <c r="I15" s="80"/>
      <c r="J15" s="80"/>
    </row>
    <row r="16" spans="1:10" x14ac:dyDescent="0.25">
      <c r="A16" s="78"/>
      <c r="B16" s="78"/>
      <c r="C16" s="78"/>
      <c r="D16" s="78"/>
      <c r="E16" s="78"/>
      <c r="F16" s="86"/>
      <c r="G16" s="86"/>
      <c r="H16" s="78"/>
      <c r="I16" s="78"/>
      <c r="J16" s="78"/>
    </row>
    <row r="17" spans="1:10" x14ac:dyDescent="0.25">
      <c r="A17" s="80"/>
      <c r="B17" s="80">
        <v>80600</v>
      </c>
      <c r="C17" s="80" t="s">
        <v>96</v>
      </c>
      <c r="D17" s="80"/>
      <c r="E17" s="80"/>
      <c r="F17" s="104" t="str">
        <f>IF(VLOOKUP($D$3,'JE History'!$A$1:$T$14,11)=0,"",VLOOKUP($D$3,'JE History'!$A$1:$T$14,11))</f>
        <v/>
      </c>
      <c r="G17" s="104"/>
      <c r="H17" s="80"/>
      <c r="I17" s="80"/>
      <c r="J17" s="80"/>
    </row>
    <row r="18" spans="1:10" x14ac:dyDescent="0.25">
      <c r="A18" s="78"/>
      <c r="B18" s="78">
        <v>15699</v>
      </c>
      <c r="C18" s="78" t="s">
        <v>97</v>
      </c>
      <c r="D18" s="78"/>
      <c r="E18" s="78"/>
      <c r="F18" s="105"/>
      <c r="G18" s="105" t="str">
        <f>IF(VLOOKUP($D$3,'JE History'!$A$1:$T$14,12)=0,"",VLOOKUP($D$3,'JE History'!$A$1:$T$14,12))</f>
        <v/>
      </c>
      <c r="H18" s="78"/>
      <c r="I18" s="78"/>
      <c r="J18" s="78"/>
    </row>
    <row r="19" spans="1:10" x14ac:dyDescent="0.25">
      <c r="A19" s="80"/>
      <c r="B19" s="80"/>
      <c r="C19" s="80"/>
      <c r="D19" s="80"/>
      <c r="E19" s="80"/>
      <c r="F19" s="85"/>
      <c r="G19" s="85"/>
      <c r="H19" s="80"/>
      <c r="I19" s="80"/>
      <c r="J19" s="80"/>
    </row>
    <row r="20" spans="1:10" x14ac:dyDescent="0.25">
      <c r="A20" s="78"/>
      <c r="B20" s="81" t="s">
        <v>137</v>
      </c>
      <c r="C20" s="79"/>
      <c r="D20" s="79"/>
      <c r="E20" s="79"/>
      <c r="F20" s="106">
        <f>SUM(F5:F19)</f>
        <v>8419.1701354980469</v>
      </c>
      <c r="G20" s="106">
        <f>SUM(G5:G19)</f>
        <v>8419.1701354980469</v>
      </c>
      <c r="H20" s="78"/>
      <c r="I20" s="78"/>
      <c r="J20" s="78"/>
    </row>
    <row r="21" spans="1:10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</row>
  </sheetData>
  <sheetProtection sheet="1" objects="1" scenarios="1"/>
  <mergeCells count="2">
    <mergeCell ref="B1:I2"/>
    <mergeCell ref="G3:I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Calc_JE">
                <anchor moveWithCells="1" sizeWithCells="1">
                  <from>
                    <xdr:col>5</xdr:col>
                    <xdr:colOff>600075</xdr:colOff>
                    <xdr:row>1</xdr:row>
                    <xdr:rowOff>180975</xdr:rowOff>
                  </from>
                  <to>
                    <xdr:col>9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90D6C-95F3-4147-8F9F-3B00B55FB1D8}">
          <x14:formula1>
            <xm:f>'Months Accts'!$A$3:$A$14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CA0-D70B-4DD7-99AF-C07C130F78C5}">
  <sheetPr codeName="Sheet3"/>
  <dimension ref="A1:L15"/>
  <sheetViews>
    <sheetView zoomScale="205" zoomScaleNormal="205" workbookViewId="0">
      <selection activeCell="K8" sqref="K8"/>
    </sheetView>
  </sheetViews>
  <sheetFormatPr defaultRowHeight="15" x14ac:dyDescent="0.25"/>
  <cols>
    <col min="5" max="5" width="9.140625" customWidth="1"/>
  </cols>
  <sheetData>
    <row r="1" spans="1:12" ht="15.75" customHeight="1" x14ac:dyDescent="0.25">
      <c r="A1" s="119" t="s">
        <v>85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77"/>
    </row>
    <row r="2" spans="1:12" ht="14.25" customHeight="1" x14ac:dyDescent="0.25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77"/>
    </row>
    <row r="3" spans="1:12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</row>
    <row r="4" spans="1:12" x14ac:dyDescent="0.25">
      <c r="A4" s="73"/>
      <c r="B4" s="74" t="s">
        <v>77</v>
      </c>
      <c r="C4" s="76">
        <f>ROUND(MAX(Detail!A2:A95) + 1,1)</f>
        <v>89</v>
      </c>
      <c r="D4" s="73"/>
      <c r="E4" s="74"/>
      <c r="F4" s="73"/>
      <c r="G4" s="73"/>
      <c r="H4" s="72"/>
      <c r="I4" s="74" t="s">
        <v>87</v>
      </c>
      <c r="J4" s="98" t="s">
        <v>152</v>
      </c>
      <c r="K4" s="73"/>
      <c r="L4" s="73"/>
    </row>
    <row r="5" spans="1:12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</row>
    <row r="6" spans="1:12" x14ac:dyDescent="0.25">
      <c r="A6" s="73"/>
      <c r="B6" s="74" t="s">
        <v>78</v>
      </c>
      <c r="C6" s="120"/>
      <c r="D6" s="120"/>
      <c r="E6" s="120"/>
      <c r="F6" s="120"/>
      <c r="G6" s="73"/>
      <c r="H6" s="72"/>
      <c r="I6" s="74" t="s">
        <v>79</v>
      </c>
      <c r="J6" s="120"/>
      <c r="K6" s="120"/>
      <c r="L6" s="73"/>
    </row>
    <row r="7" spans="1:12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</row>
    <row r="8" spans="1:12" x14ac:dyDescent="0.25">
      <c r="A8" s="73"/>
      <c r="B8" s="74" t="s">
        <v>80</v>
      </c>
      <c r="C8" s="123"/>
      <c r="D8" s="123"/>
      <c r="E8" s="72"/>
      <c r="F8" s="74"/>
      <c r="G8" s="74" t="s">
        <v>81</v>
      </c>
      <c r="H8" s="91" t="s">
        <v>140</v>
      </c>
      <c r="I8" s="72"/>
      <c r="J8" s="74" t="s">
        <v>82</v>
      </c>
      <c r="K8" s="99"/>
      <c r="L8" s="73"/>
    </row>
    <row r="9" spans="1:12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</row>
    <row r="10" spans="1:12" x14ac:dyDescent="0.25">
      <c r="A10" s="73"/>
      <c r="B10" s="73"/>
      <c r="C10" s="73"/>
      <c r="D10" s="74" t="s">
        <v>83</v>
      </c>
      <c r="E10" s="122">
        <v>0</v>
      </c>
      <c r="F10" s="122"/>
      <c r="G10" s="73"/>
      <c r="H10" s="74" t="s">
        <v>84</v>
      </c>
      <c r="I10" s="122">
        <f>C8-E10</f>
        <v>0</v>
      </c>
      <c r="J10" s="122"/>
      <c r="K10" s="73"/>
      <c r="L10" s="73"/>
    </row>
    <row r="11" spans="1:12" x14ac:dyDescent="0.25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</row>
    <row r="12" spans="1:12" x14ac:dyDescent="0.25">
      <c r="A12" s="73"/>
      <c r="B12" s="73"/>
      <c r="C12" s="73"/>
      <c r="D12" s="121" t="s">
        <v>91</v>
      </c>
      <c r="E12" s="121"/>
      <c r="F12" s="121"/>
      <c r="G12" s="121"/>
      <c r="H12" s="121"/>
      <c r="I12" s="121"/>
      <c r="J12" s="73"/>
      <c r="K12" s="73"/>
      <c r="L12" s="73"/>
    </row>
    <row r="13" spans="1:12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</row>
    <row r="14" spans="1:12" x14ac:dyDescent="0.25">
      <c r="A14" s="72"/>
      <c r="B14" s="118" t="s">
        <v>176</v>
      </c>
      <c r="C14" s="118"/>
      <c r="D14" s="118"/>
      <c r="E14" s="118"/>
      <c r="F14" s="118"/>
      <c r="G14" s="118"/>
      <c r="H14" s="118"/>
      <c r="I14" s="118"/>
      <c r="J14" s="118"/>
      <c r="K14" s="72"/>
      <c r="L14" s="72"/>
    </row>
    <row r="15" spans="1:12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</row>
  </sheetData>
  <sheetProtection sheet="1" objects="1" scenarios="1"/>
  <mergeCells count="8">
    <mergeCell ref="B14:J14"/>
    <mergeCell ref="A1:K2"/>
    <mergeCell ref="C6:F6"/>
    <mergeCell ref="D12:I12"/>
    <mergeCell ref="E10:F10"/>
    <mergeCell ref="I10:J10"/>
    <mergeCell ref="C8:D8"/>
    <mergeCell ref="J6:K6"/>
  </mergeCells>
  <dataValidations count="3">
    <dataValidation type="decimal" operator="greaterThan" allowBlank="1" showInputMessage="1" showErrorMessage="1" sqref="K8" xr:uid="{6D596632-2EF6-4DEC-A4D6-4D5BDF309099}">
      <formula1>0</formula1>
    </dataValidation>
    <dataValidation type="textLength" operator="greaterThanOrEqual" allowBlank="1" showInputMessage="1" showErrorMessage="1" sqref="C6:F6" xr:uid="{F534EF20-AC8A-4741-BF16-5F15E726D9A4}">
      <formula1>3</formula1>
    </dataValidation>
    <dataValidation type="decimal" operator="greaterThanOrEqual" allowBlank="1" showInputMessage="1" showErrorMessage="1" sqref="C8:D8" xr:uid="{63AFA186-429A-46F5-B48C-B163943AD8D0}">
      <formula1>5000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dd_New">
                <anchor moveWithCells="1" sizeWithCells="1">
                  <from>
                    <xdr:col>2</xdr:col>
                    <xdr:colOff>600075</xdr:colOff>
                    <xdr:row>11</xdr:row>
                    <xdr:rowOff>0</xdr:rowOff>
                  </from>
                  <to>
                    <xdr:col>9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C8E6E0-4D86-45F7-9203-22EF9507EA58}">
          <x14:formula1>
            <xm:f>'Months Accts'!$A$3:$A$14</xm:f>
          </x14:formula1>
          <xm:sqref>J4</xm:sqref>
        </x14:dataValidation>
        <x14:dataValidation type="list" allowBlank="1" showInputMessage="1" showErrorMessage="1" xr:uid="{4FE5EF09-EE7C-4C49-8AF4-1A69FDA1C287}">
          <x14:formula1>
            <xm:f>'Months Accts'!$D$3:$D$10</xm:f>
          </x14:formula1>
          <xm:sqref>J6:K6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CF29-304B-4ED6-89BC-81018286E668}">
  <sheetPr codeName="Sheet4"/>
  <dimension ref="A1:L13"/>
  <sheetViews>
    <sheetView zoomScale="205" zoomScaleNormal="205" workbookViewId="0">
      <selection activeCell="C8" sqref="C8:D8"/>
    </sheetView>
  </sheetViews>
  <sheetFormatPr defaultRowHeight="15" x14ac:dyDescent="0.25"/>
  <cols>
    <col min="5" max="5" width="9.140625" customWidth="1"/>
  </cols>
  <sheetData>
    <row r="1" spans="1:12" x14ac:dyDescent="0.25">
      <c r="A1" s="119" t="s">
        <v>86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</row>
    <row r="2" spans="1:12" x14ac:dyDescent="0.25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</row>
    <row r="3" spans="1:12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</row>
    <row r="4" spans="1:12" x14ac:dyDescent="0.25">
      <c r="A4" s="73"/>
      <c r="B4" s="74" t="s">
        <v>77</v>
      </c>
      <c r="C4" s="99"/>
      <c r="D4" s="73"/>
      <c r="E4" s="124"/>
      <c r="F4" s="124"/>
      <c r="G4" s="124"/>
      <c r="H4" s="72"/>
      <c r="I4" s="74" t="s">
        <v>87</v>
      </c>
      <c r="J4" s="98" t="s">
        <v>142</v>
      </c>
      <c r="K4" s="73"/>
      <c r="L4" s="73"/>
    </row>
    <row r="5" spans="1:12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</row>
    <row r="6" spans="1:12" x14ac:dyDescent="0.25">
      <c r="A6" s="73"/>
      <c r="B6" s="74" t="s">
        <v>78</v>
      </c>
      <c r="C6" s="120" t="e">
        <f>VLOOKUP($C$4,Detail!$A$1:$N$94,4)</f>
        <v>#N/A</v>
      </c>
      <c r="D6" s="120"/>
      <c r="E6" s="120"/>
      <c r="F6" s="120"/>
      <c r="G6" s="73"/>
      <c r="H6" s="72"/>
      <c r="I6" s="74" t="s">
        <v>79</v>
      </c>
      <c r="J6" s="120" t="e">
        <f>VLOOKUP($C$4,Detail!$A$1:$N$94,2)</f>
        <v>#N/A</v>
      </c>
      <c r="K6" s="120"/>
      <c r="L6" s="73"/>
    </row>
    <row r="7" spans="1:12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</row>
    <row r="8" spans="1:12" x14ac:dyDescent="0.25">
      <c r="A8" s="73"/>
      <c r="B8" s="74" t="s">
        <v>80</v>
      </c>
      <c r="C8" s="123" t="e">
        <f>VLOOKUP($C$4,Detail!$A$1:$N$94,6)</f>
        <v>#N/A</v>
      </c>
      <c r="D8" s="123"/>
      <c r="E8" s="72"/>
      <c r="F8" s="74"/>
      <c r="G8" s="74" t="s">
        <v>81</v>
      </c>
      <c r="H8" s="111" t="e">
        <f>VLOOKUP($C$4,Detail!$A$1:$N$94,5)</f>
        <v>#N/A</v>
      </c>
      <c r="I8" s="72"/>
      <c r="J8" s="74" t="s">
        <v>82</v>
      </c>
      <c r="K8" s="99" t="e">
        <f>VLOOKUP($C$4,Detail!$A$1:$N$94,7)</f>
        <v>#N/A</v>
      </c>
      <c r="L8" s="73"/>
    </row>
    <row r="9" spans="1:12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</row>
    <row r="10" spans="1:12" x14ac:dyDescent="0.25">
      <c r="A10" s="73"/>
      <c r="B10" s="73"/>
      <c r="C10" s="73"/>
      <c r="D10" s="94" t="str">
        <f>_xlfn.CONCAT(Detail!I1,": ")</f>
        <v xml:space="preserve">Accum Deprec @6/23: </v>
      </c>
      <c r="E10" s="122" t="e">
        <f>VLOOKUP($C$4,Detail!$A$1:$N$95,9)</f>
        <v>#N/A</v>
      </c>
      <c r="F10" s="122"/>
      <c r="G10" s="73"/>
      <c r="H10" s="74" t="s">
        <v>84</v>
      </c>
      <c r="I10" s="122" t="e">
        <f>C8-E10</f>
        <v>#N/A</v>
      </c>
      <c r="J10" s="122"/>
      <c r="K10" s="73"/>
      <c r="L10" s="73"/>
    </row>
    <row r="11" spans="1:12" x14ac:dyDescent="0.25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</row>
    <row r="12" spans="1:12" x14ac:dyDescent="0.25">
      <c r="A12" s="73"/>
      <c r="B12" s="73"/>
      <c r="C12" s="73"/>
      <c r="D12" s="121" t="s">
        <v>89</v>
      </c>
      <c r="E12" s="121"/>
      <c r="F12" s="121"/>
      <c r="G12" s="121"/>
      <c r="H12" s="121"/>
      <c r="I12" s="121"/>
      <c r="J12" s="73"/>
      <c r="K12" s="73"/>
      <c r="L12" s="73"/>
    </row>
    <row r="13" spans="1:12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</row>
  </sheetData>
  <sheetProtection sheet="1" objects="1" scenarios="1"/>
  <mergeCells count="8">
    <mergeCell ref="D12:I12"/>
    <mergeCell ref="A1:L2"/>
    <mergeCell ref="C6:F6"/>
    <mergeCell ref="J6:K6"/>
    <mergeCell ref="C8:D8"/>
    <mergeCell ref="E4:G4"/>
    <mergeCell ref="E10:F10"/>
    <mergeCell ref="I10:J10"/>
  </mergeCells>
  <dataValidations count="3">
    <dataValidation type="textLength" operator="greaterThanOrEqual" allowBlank="1" showInputMessage="1" showErrorMessage="1" sqref="C6:F6" xr:uid="{C7236D09-13E8-4A9F-8657-0532E60F77C7}">
      <formula1>3</formula1>
    </dataValidation>
    <dataValidation type="decimal" operator="greaterThan" allowBlank="1" showInputMessage="1" showErrorMessage="1" sqref="C8:D8 K8" xr:uid="{EE65134F-0FEF-4012-A0F4-BBA8B9BC1AF8}">
      <formula1>0</formula1>
    </dataValidation>
    <dataValidation type="date" operator="greaterThan" allowBlank="1" showInputMessage="1" showErrorMessage="1" sqref="H8" xr:uid="{49E8B0B4-81A7-42AC-8E56-EC07CF4B4978}">
      <formula1>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Update_Current">
                <anchor moveWithCells="1" sizeWithCells="1">
                  <from>
                    <xdr:col>2</xdr:col>
                    <xdr:colOff>466725</xdr:colOff>
                    <xdr:row>10</xdr:row>
                    <xdr:rowOff>180975</xdr:rowOff>
                  </from>
                  <to>
                    <xdr:col>9</xdr:col>
                    <xdr:colOff>285750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7226BE-B2C2-45E2-AF30-CEB6C4C77DF8}">
          <x14:formula1>
            <xm:f>'Months Accts'!$A$3:$A$14</xm:f>
          </x14:formula1>
          <xm:sqref>J4</xm:sqref>
        </x14:dataValidation>
        <x14:dataValidation type="list" allowBlank="1" showInputMessage="1" showErrorMessage="1" xr:uid="{91B8F531-0448-44AA-ABF2-A97A9EEDBEAB}">
          <x14:formula1>
            <xm:f>'Months Accts'!$D$3:$D$10</xm:f>
          </x14:formula1>
          <xm:sqref>J6:K6</xm:sqref>
        </x14:dataValidation>
        <x14:dataValidation type="list" allowBlank="1" showInputMessage="1" showErrorMessage="1" xr:uid="{5CCE7241-6AAA-4119-8EF3-C8F2C7B24961}">
          <x14:formula1>
            <xm:f>Detail!$A$2:$A$94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0F2E3-186C-4DAC-8325-1399CA47C998}">
  <sheetPr codeName="Sheet5"/>
  <dimension ref="A1:L13"/>
  <sheetViews>
    <sheetView zoomScale="205" zoomScaleNormal="205" workbookViewId="0">
      <selection activeCell="H16" sqref="H16"/>
    </sheetView>
  </sheetViews>
  <sheetFormatPr defaultRowHeight="15" x14ac:dyDescent="0.25"/>
  <cols>
    <col min="5" max="5" width="9.140625" customWidth="1"/>
  </cols>
  <sheetData>
    <row r="1" spans="1:12" x14ac:dyDescent="0.25">
      <c r="A1" s="119" t="s">
        <v>88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</row>
    <row r="2" spans="1:12" x14ac:dyDescent="0.25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</row>
    <row r="3" spans="1:12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</row>
    <row r="4" spans="1:12" x14ac:dyDescent="0.25">
      <c r="A4" s="73"/>
      <c r="B4" s="74" t="s">
        <v>77</v>
      </c>
      <c r="C4" s="99"/>
      <c r="D4" s="73"/>
      <c r="E4" s="124"/>
      <c r="F4" s="124"/>
      <c r="G4" s="124"/>
      <c r="H4" s="72"/>
      <c r="I4" s="74" t="s">
        <v>87</v>
      </c>
      <c r="J4" s="98" t="s">
        <v>142</v>
      </c>
      <c r="K4" s="73"/>
      <c r="L4" s="73"/>
    </row>
    <row r="5" spans="1:12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</row>
    <row r="6" spans="1:12" ht="15" customHeight="1" x14ac:dyDescent="0.25">
      <c r="A6" s="73"/>
      <c r="B6" s="74" t="s">
        <v>78</v>
      </c>
      <c r="C6" s="125" t="e">
        <f>VLOOKUP($C$4,Detail!$A$1:$N$95,4)</f>
        <v>#N/A</v>
      </c>
      <c r="D6" s="125"/>
      <c r="E6" s="125"/>
      <c r="F6" s="125"/>
      <c r="G6" s="73"/>
      <c r="H6" s="72"/>
      <c r="I6" s="74" t="s">
        <v>79</v>
      </c>
      <c r="J6" s="126" t="e">
        <f>VLOOKUP($C$4,Detail!$A$1:$N$95,2)</f>
        <v>#N/A</v>
      </c>
      <c r="K6" s="126"/>
      <c r="L6" s="73"/>
    </row>
    <row r="7" spans="1:12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</row>
    <row r="8" spans="1:12" x14ac:dyDescent="0.25">
      <c r="A8" s="73"/>
      <c r="B8" s="74" t="s">
        <v>80</v>
      </c>
      <c r="C8" s="122" t="e">
        <f>VLOOKUP($C$4,Detail!$A$1:$N$95,6)</f>
        <v>#N/A</v>
      </c>
      <c r="D8" s="122"/>
      <c r="E8" s="72"/>
      <c r="F8" s="74"/>
      <c r="G8" s="74" t="s">
        <v>81</v>
      </c>
      <c r="H8" s="95" t="e">
        <f>VLOOKUP($C$4,Detail!$A$1:$N$95,5)</f>
        <v>#N/A</v>
      </c>
      <c r="I8" s="73"/>
      <c r="J8" s="74" t="s">
        <v>82</v>
      </c>
      <c r="K8" s="76" t="e">
        <f>VLOOKUP($C$4,Detail!$A$1:$N$95,7)</f>
        <v>#N/A</v>
      </c>
      <c r="L8" s="73"/>
    </row>
    <row r="9" spans="1:12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</row>
    <row r="10" spans="1:12" x14ac:dyDescent="0.25">
      <c r="A10" s="73"/>
      <c r="B10" s="73"/>
      <c r="C10" s="73"/>
      <c r="D10" s="94" t="str">
        <f>_xlfn.CONCAT(Detail!I1,": ")</f>
        <v xml:space="preserve">Accum Deprec @6/23: </v>
      </c>
      <c r="E10" s="122" t="e">
        <f>VLOOKUP($C$4,Detail!$A$1:$N$95,9)</f>
        <v>#N/A</v>
      </c>
      <c r="F10" s="122"/>
      <c r="G10" s="73"/>
      <c r="H10" s="74" t="s">
        <v>84</v>
      </c>
      <c r="I10" s="122" t="e">
        <f>C8-E10</f>
        <v>#N/A</v>
      </c>
      <c r="J10" s="122"/>
      <c r="K10" s="73"/>
      <c r="L10" s="73"/>
    </row>
    <row r="11" spans="1:12" x14ac:dyDescent="0.25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</row>
    <row r="12" spans="1:12" x14ac:dyDescent="0.25">
      <c r="A12" s="73"/>
      <c r="B12" s="73"/>
      <c r="C12" s="73"/>
      <c r="D12" s="121" t="s">
        <v>90</v>
      </c>
      <c r="E12" s="121"/>
      <c r="F12" s="121"/>
      <c r="G12" s="121"/>
      <c r="H12" s="121"/>
      <c r="I12" s="121"/>
      <c r="J12" s="73"/>
      <c r="K12" s="73"/>
      <c r="L12" s="73"/>
    </row>
    <row r="13" spans="1:12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</row>
  </sheetData>
  <sheetProtection sheet="1" objects="1" scenarios="1"/>
  <mergeCells count="8">
    <mergeCell ref="E10:F10"/>
    <mergeCell ref="I10:J10"/>
    <mergeCell ref="D12:I12"/>
    <mergeCell ref="A1:L2"/>
    <mergeCell ref="C6:F6"/>
    <mergeCell ref="J6:K6"/>
    <mergeCell ref="E4:G4"/>
    <mergeCell ref="C8:D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move_Current">
                <anchor moveWithCells="1" sizeWithCells="1">
                  <from>
                    <xdr:col>2</xdr:col>
                    <xdr:colOff>552450</xdr:colOff>
                    <xdr:row>11</xdr:row>
                    <xdr:rowOff>0</xdr:rowOff>
                  </from>
                  <to>
                    <xdr:col>9</xdr:col>
                    <xdr:colOff>409575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C52F56-7F83-4727-A7A3-11080C076314}">
          <x14:formula1>
            <xm:f>'Months Accts'!$A$3:$A$14</xm:f>
          </x14:formula1>
          <xm:sqref>J4</xm:sqref>
        </x14:dataValidation>
        <x14:dataValidation type="list" allowBlank="1" showInputMessage="1" showErrorMessage="1" xr:uid="{BF085F73-0936-4549-9D0D-9B52B4D95A0A}">
          <x14:formula1>
            <xm:f>Detail!$A$2:$A$94</xm:f>
          </x14:formula1>
          <xm:sqref>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95E8-ED41-4065-8E86-BA83A3CE59F7}">
  <sheetPr codeName="Sheet6"/>
  <dimension ref="A1:AB94"/>
  <sheetViews>
    <sheetView workbookViewId="0">
      <pane xSplit="14" ySplit="1" topLeftCell="O65" activePane="bottomRight" state="frozen"/>
      <selection pane="topRight" activeCell="O1" sqref="O1"/>
      <selection pane="bottomLeft" activeCell="A2" sqref="A2"/>
      <selection pane="bottomRight" activeCell="D88" sqref="D88"/>
    </sheetView>
  </sheetViews>
  <sheetFormatPr defaultRowHeight="15" x14ac:dyDescent="0.25"/>
  <cols>
    <col min="1" max="1" width="4" bestFit="1" customWidth="1"/>
    <col min="2" max="2" width="10.28515625" bestFit="1" customWidth="1"/>
    <col min="3" max="3" width="18.5703125" bestFit="1" customWidth="1"/>
    <col min="4" max="4" width="57" customWidth="1"/>
    <col min="5" max="5" width="12.140625" bestFit="1" customWidth="1"/>
    <col min="6" max="6" width="13.28515625" bestFit="1" customWidth="1"/>
    <col min="9" max="9" width="12.140625" bestFit="1" customWidth="1"/>
    <col min="10" max="10" width="10" bestFit="1" customWidth="1"/>
    <col min="12" max="12" width="9.5703125" bestFit="1" customWidth="1"/>
    <col min="13" max="13" width="11" style="71" bestFit="1" customWidth="1"/>
    <col min="14" max="14" width="12.5703125" style="71" bestFit="1" customWidth="1"/>
    <col min="15" max="15" width="3" customWidth="1"/>
    <col min="16" max="16" width="9.5703125" bestFit="1" customWidth="1"/>
    <col min="19" max="21" width="9.7109375" bestFit="1" customWidth="1"/>
  </cols>
  <sheetData>
    <row r="1" spans="1:28" s="6" customFormat="1" ht="31.9" customHeight="1" x14ac:dyDescent="0.2">
      <c r="A1" s="1" t="s">
        <v>76</v>
      </c>
      <c r="B1" s="1" t="s">
        <v>0</v>
      </c>
      <c r="C1" s="1" t="s">
        <v>1</v>
      </c>
      <c r="D1" s="1" t="s">
        <v>2</v>
      </c>
      <c r="E1" s="2" t="s">
        <v>3</v>
      </c>
      <c r="F1" s="3" t="s">
        <v>4</v>
      </c>
      <c r="G1" s="4" t="s">
        <v>5</v>
      </c>
      <c r="H1" s="4" t="s">
        <v>6</v>
      </c>
      <c r="I1" s="5" t="s">
        <v>8</v>
      </c>
      <c r="J1" s="5" t="s">
        <v>9</v>
      </c>
      <c r="K1" s="3" t="s">
        <v>7</v>
      </c>
      <c r="L1" s="5" t="s">
        <v>177</v>
      </c>
      <c r="M1" s="68" t="s">
        <v>74</v>
      </c>
      <c r="N1" s="68" t="s">
        <v>10</v>
      </c>
      <c r="P1" s="7" t="str">
        <f>'Months Accts'!A3</f>
        <v>2023-07</v>
      </c>
      <c r="Q1" s="7" t="str">
        <f>'Months Accts'!A4</f>
        <v>2023-08</v>
      </c>
      <c r="R1" s="7" t="str">
        <f>'Months Accts'!A5</f>
        <v>2023-09</v>
      </c>
      <c r="S1" s="7" t="str">
        <f>'Months Accts'!A6</f>
        <v>2023-10</v>
      </c>
      <c r="T1" s="7" t="str">
        <f>'Months Accts'!A7</f>
        <v>2023-11</v>
      </c>
      <c r="U1" s="7" t="str">
        <f>'Months Accts'!A8</f>
        <v>2023-12</v>
      </c>
      <c r="V1" s="7" t="str">
        <f>'Months Accts'!A9</f>
        <v>2024-01</v>
      </c>
      <c r="W1" s="7" t="str">
        <f>'Months Accts'!A10</f>
        <v>2024-02</v>
      </c>
      <c r="X1" s="7" t="str">
        <f>'Months Accts'!A11</f>
        <v>2024-03</v>
      </c>
      <c r="Y1" s="7" t="str">
        <f>'Months Accts'!A12</f>
        <v>2024-04</v>
      </c>
      <c r="Z1" s="7" t="str">
        <f>'Months Accts'!A13</f>
        <v>2024-05</v>
      </c>
      <c r="AA1" s="7" t="str">
        <f>'Months Accts'!A14</f>
        <v>2024-06</v>
      </c>
      <c r="AB1" s="8"/>
    </row>
    <row r="2" spans="1:28" x14ac:dyDescent="0.25">
      <c r="A2">
        <v>1</v>
      </c>
      <c r="B2" s="9" t="s">
        <v>11</v>
      </c>
      <c r="C2" s="10" t="s">
        <v>12</v>
      </c>
      <c r="D2" s="11" t="s">
        <v>178</v>
      </c>
      <c r="E2" s="12">
        <v>31959</v>
      </c>
      <c r="F2" s="13">
        <v>563153.32999999996</v>
      </c>
      <c r="G2" s="14">
        <v>30</v>
      </c>
      <c r="H2" s="14">
        <f>G2*12</f>
        <v>360</v>
      </c>
      <c r="I2" s="63">
        <v>563153.32999999996</v>
      </c>
      <c r="J2" s="63">
        <f>F2-I2</f>
        <v>0</v>
      </c>
      <c r="K2" s="13">
        <v>0</v>
      </c>
      <c r="L2" s="58">
        <f>SUM(P2:AA2)</f>
        <v>0</v>
      </c>
      <c r="M2" s="69">
        <f>I2+L2</f>
        <v>563153.32999999996</v>
      </c>
      <c r="N2" s="69">
        <f>F2-M2</f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  <c r="Y2" s="100">
        <v>0</v>
      </c>
      <c r="Z2" s="100">
        <v>0</v>
      </c>
      <c r="AA2" s="100">
        <v>0</v>
      </c>
    </row>
    <row r="3" spans="1:28" x14ac:dyDescent="0.25">
      <c r="A3">
        <v>2</v>
      </c>
      <c r="B3" s="9" t="s">
        <v>13</v>
      </c>
      <c r="C3" s="10" t="s">
        <v>14</v>
      </c>
      <c r="D3" s="11" t="s">
        <v>14</v>
      </c>
      <c r="E3" s="12">
        <v>34578</v>
      </c>
      <c r="F3" s="13">
        <v>238794.98</v>
      </c>
      <c r="G3" s="14">
        <v>39</v>
      </c>
      <c r="H3" s="14">
        <f>G3*12</f>
        <v>468</v>
      </c>
      <c r="I3" s="63">
        <v>176036.04282051278</v>
      </c>
      <c r="J3" s="63">
        <f>F3-I3</f>
        <v>62758.937179487228</v>
      </c>
      <c r="K3" s="13">
        <f>F3/H3</f>
        <v>510.24568376068379</v>
      </c>
      <c r="L3" s="59">
        <f t="shared" ref="L3:L54" si="0">SUM(P3:AA3)</f>
        <v>6123</v>
      </c>
      <c r="M3" s="69">
        <f t="shared" ref="M3:M61" si="1">I3+L3</f>
        <v>182159.04282051278</v>
      </c>
      <c r="N3" s="69">
        <f t="shared" ref="N3:N53" si="2">F3-M3</f>
        <v>56635.937179487228</v>
      </c>
      <c r="P3" s="100">
        <v>510.25</v>
      </c>
      <c r="Q3" s="100">
        <v>510.25</v>
      </c>
      <c r="R3" s="100">
        <v>510.25</v>
      </c>
      <c r="S3" s="100">
        <v>510.25</v>
      </c>
      <c r="T3" s="100">
        <v>510.25</v>
      </c>
      <c r="U3" s="100">
        <v>510.25</v>
      </c>
      <c r="V3" s="100">
        <v>510.25</v>
      </c>
      <c r="W3" s="100">
        <v>510.25</v>
      </c>
      <c r="X3" s="100">
        <v>510.25</v>
      </c>
      <c r="Y3" s="100">
        <v>510.25</v>
      </c>
      <c r="Z3" s="100">
        <v>510.25</v>
      </c>
      <c r="AA3" s="100">
        <v>510.25</v>
      </c>
    </row>
    <row r="4" spans="1:28" x14ac:dyDescent="0.25">
      <c r="A4">
        <v>3</v>
      </c>
      <c r="B4" s="9" t="s">
        <v>15</v>
      </c>
      <c r="C4" s="10" t="s">
        <v>16</v>
      </c>
      <c r="D4" s="16" t="s">
        <v>17</v>
      </c>
      <c r="E4" s="17" t="s">
        <v>18</v>
      </c>
      <c r="F4" s="18">
        <v>3600</v>
      </c>
      <c r="G4" s="19">
        <v>5</v>
      </c>
      <c r="H4" s="19">
        <f t="shared" ref="H4:H63" si="3">G4*12</f>
        <v>60</v>
      </c>
      <c r="I4" s="63">
        <v>3600</v>
      </c>
      <c r="J4" s="63">
        <f t="shared" ref="J4:J29" si="4">F4-I4</f>
        <v>0</v>
      </c>
      <c r="K4" s="13">
        <v>0</v>
      </c>
      <c r="L4" s="61">
        <f t="shared" si="0"/>
        <v>0</v>
      </c>
      <c r="M4" s="31">
        <f t="shared" si="1"/>
        <v>3600</v>
      </c>
      <c r="N4" s="31">
        <f t="shared" si="2"/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  <c r="V4" s="100">
        <v>0</v>
      </c>
      <c r="W4" s="100">
        <v>0</v>
      </c>
      <c r="X4" s="100">
        <v>0</v>
      </c>
      <c r="Y4" s="100">
        <v>0</v>
      </c>
      <c r="Z4" s="100">
        <v>0</v>
      </c>
      <c r="AA4" s="100">
        <v>0</v>
      </c>
    </row>
    <row r="5" spans="1:28" x14ac:dyDescent="0.25">
      <c r="A5">
        <v>4</v>
      </c>
      <c r="B5" s="20" t="s">
        <v>15</v>
      </c>
      <c r="C5" s="10" t="s">
        <v>16</v>
      </c>
      <c r="D5" s="11" t="s">
        <v>19</v>
      </c>
      <c r="E5" s="17" t="s">
        <v>20</v>
      </c>
      <c r="F5" s="21">
        <v>1807</v>
      </c>
      <c r="G5" s="22">
        <v>10</v>
      </c>
      <c r="H5" s="22">
        <f t="shared" si="3"/>
        <v>120</v>
      </c>
      <c r="I5" s="64">
        <v>1807</v>
      </c>
      <c r="J5" s="64">
        <f t="shared" si="4"/>
        <v>0</v>
      </c>
      <c r="K5" s="24">
        <v>0</v>
      </c>
      <c r="L5" s="62">
        <f t="shared" si="0"/>
        <v>0</v>
      </c>
      <c r="M5" s="70">
        <f t="shared" si="1"/>
        <v>1807</v>
      </c>
      <c r="N5" s="70">
        <f t="shared" si="2"/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  <c r="U5" s="100">
        <v>0</v>
      </c>
      <c r="V5" s="100">
        <v>0</v>
      </c>
      <c r="W5" s="100">
        <v>0</v>
      </c>
      <c r="X5" s="100">
        <v>0</v>
      </c>
      <c r="Y5" s="100">
        <v>0</v>
      </c>
      <c r="Z5" s="100">
        <v>0</v>
      </c>
      <c r="AA5" s="100">
        <v>0</v>
      </c>
    </row>
    <row r="6" spans="1:28" x14ac:dyDescent="0.25">
      <c r="A6">
        <v>5</v>
      </c>
      <c r="B6" s="9" t="s">
        <v>15</v>
      </c>
      <c r="C6" s="10" t="s">
        <v>16</v>
      </c>
      <c r="D6" s="11" t="s">
        <v>21</v>
      </c>
      <c r="E6" s="17" t="s">
        <v>22</v>
      </c>
      <c r="F6" s="21">
        <v>27324</v>
      </c>
      <c r="G6" s="22">
        <v>30</v>
      </c>
      <c r="H6" s="22">
        <f t="shared" si="3"/>
        <v>360</v>
      </c>
      <c r="I6" s="63">
        <v>27324</v>
      </c>
      <c r="J6" s="63">
        <f t="shared" si="4"/>
        <v>0</v>
      </c>
      <c r="K6" s="13">
        <v>0</v>
      </c>
      <c r="L6" s="61">
        <f t="shared" si="0"/>
        <v>0</v>
      </c>
      <c r="M6" s="31">
        <f t="shared" si="1"/>
        <v>27324</v>
      </c>
      <c r="N6" s="31">
        <f t="shared" si="2"/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  <c r="V6" s="100">
        <v>0</v>
      </c>
      <c r="W6" s="100">
        <v>0</v>
      </c>
      <c r="X6" s="100">
        <v>0</v>
      </c>
      <c r="Y6" s="100">
        <v>0</v>
      </c>
      <c r="Z6" s="100">
        <v>0</v>
      </c>
      <c r="AA6" s="100">
        <v>0</v>
      </c>
    </row>
    <row r="7" spans="1:28" x14ac:dyDescent="0.25">
      <c r="A7">
        <v>6</v>
      </c>
      <c r="B7" s="9" t="s">
        <v>15</v>
      </c>
      <c r="C7" s="10" t="s">
        <v>16</v>
      </c>
      <c r="D7" s="11" t="s">
        <v>21</v>
      </c>
      <c r="E7" s="17" t="s">
        <v>23</v>
      </c>
      <c r="F7" s="21">
        <v>1029.33</v>
      </c>
      <c r="G7" s="22">
        <v>30</v>
      </c>
      <c r="H7" s="22">
        <f t="shared" si="3"/>
        <v>360</v>
      </c>
      <c r="I7" s="63">
        <v>1029.33</v>
      </c>
      <c r="J7" s="63">
        <f t="shared" si="4"/>
        <v>0</v>
      </c>
      <c r="K7" s="13">
        <v>0</v>
      </c>
      <c r="L7" s="61">
        <f t="shared" si="0"/>
        <v>0</v>
      </c>
      <c r="M7" s="31">
        <f t="shared" si="1"/>
        <v>1029.33</v>
      </c>
      <c r="N7" s="31">
        <f t="shared" si="2"/>
        <v>0</v>
      </c>
      <c r="P7" s="100">
        <v>0</v>
      </c>
      <c r="Q7" s="100">
        <v>0</v>
      </c>
      <c r="R7" s="100">
        <v>0</v>
      </c>
      <c r="S7" s="100">
        <v>0</v>
      </c>
      <c r="T7" s="100">
        <v>0</v>
      </c>
      <c r="U7" s="100">
        <v>0</v>
      </c>
      <c r="V7" s="100">
        <v>0</v>
      </c>
      <c r="W7" s="100">
        <v>0</v>
      </c>
      <c r="X7" s="100">
        <v>0</v>
      </c>
      <c r="Y7" s="100">
        <v>0</v>
      </c>
      <c r="Z7" s="100">
        <v>0</v>
      </c>
      <c r="AA7" s="100">
        <v>0</v>
      </c>
    </row>
    <row r="8" spans="1:28" x14ac:dyDescent="0.25">
      <c r="A8">
        <v>7</v>
      </c>
      <c r="B8" s="9" t="s">
        <v>15</v>
      </c>
      <c r="C8" s="10" t="s">
        <v>16</v>
      </c>
      <c r="D8" s="11" t="s">
        <v>24</v>
      </c>
      <c r="E8" s="17" t="s">
        <v>25</v>
      </c>
      <c r="F8" s="21">
        <v>1040</v>
      </c>
      <c r="G8" s="22">
        <v>30</v>
      </c>
      <c r="H8" s="22">
        <f t="shared" si="3"/>
        <v>360</v>
      </c>
      <c r="I8" s="63">
        <v>1040</v>
      </c>
      <c r="J8" s="63">
        <f t="shared" si="4"/>
        <v>0</v>
      </c>
      <c r="K8" s="13">
        <v>0</v>
      </c>
      <c r="L8" s="61">
        <f t="shared" si="0"/>
        <v>0</v>
      </c>
      <c r="M8" s="31">
        <f t="shared" si="1"/>
        <v>1040</v>
      </c>
      <c r="N8" s="31">
        <f t="shared" si="2"/>
        <v>0</v>
      </c>
      <c r="P8" s="100">
        <v>0</v>
      </c>
      <c r="Q8" s="100">
        <v>0</v>
      </c>
      <c r="R8" s="100">
        <v>0</v>
      </c>
      <c r="S8" s="100">
        <v>0</v>
      </c>
      <c r="T8" s="100">
        <v>0</v>
      </c>
      <c r="U8" s="100">
        <v>0</v>
      </c>
      <c r="V8" s="100">
        <v>0</v>
      </c>
      <c r="W8" s="100">
        <v>0</v>
      </c>
      <c r="X8" s="100">
        <v>0</v>
      </c>
      <c r="Y8" s="100">
        <v>0</v>
      </c>
      <c r="Z8" s="100">
        <v>0</v>
      </c>
      <c r="AA8" s="100">
        <v>0</v>
      </c>
    </row>
    <row r="9" spans="1:28" x14ac:dyDescent="0.25">
      <c r="A9">
        <v>8</v>
      </c>
      <c r="B9" s="9" t="s">
        <v>15</v>
      </c>
      <c r="C9" s="10" t="s">
        <v>16</v>
      </c>
      <c r="D9" s="11" t="s">
        <v>179</v>
      </c>
      <c r="E9" s="23">
        <v>41533</v>
      </c>
      <c r="F9" s="24">
        <v>1923.57</v>
      </c>
      <c r="G9" s="22">
        <v>10</v>
      </c>
      <c r="H9" s="22">
        <f t="shared" si="3"/>
        <v>120</v>
      </c>
      <c r="I9" s="63">
        <v>1891.5165000000002</v>
      </c>
      <c r="J9" s="63">
        <f t="shared" si="4"/>
        <v>32.053499999999758</v>
      </c>
      <c r="K9" s="13">
        <v>0</v>
      </c>
      <c r="L9" s="60">
        <f t="shared" si="0"/>
        <v>32.049999999999997</v>
      </c>
      <c r="M9" s="31">
        <f t="shared" si="1"/>
        <v>1923.5665000000001</v>
      </c>
      <c r="N9" s="31">
        <f t="shared" si="2"/>
        <v>3.4999999998035491E-3</v>
      </c>
      <c r="P9" s="100">
        <v>16.03</v>
      </c>
      <c r="Q9" s="100">
        <v>16.02</v>
      </c>
      <c r="R9" s="100"/>
      <c r="S9" s="100"/>
      <c r="T9" s="100"/>
      <c r="U9" s="100"/>
      <c r="V9" s="100"/>
      <c r="W9" s="100"/>
      <c r="X9" s="100"/>
      <c r="Y9" s="100"/>
      <c r="Z9" s="100"/>
      <c r="AA9" s="100"/>
    </row>
    <row r="10" spans="1:28" x14ac:dyDescent="0.25">
      <c r="A10">
        <v>9</v>
      </c>
      <c r="B10" s="9" t="s">
        <v>15</v>
      </c>
      <c r="C10" s="10" t="s">
        <v>16</v>
      </c>
      <c r="D10" s="25" t="s">
        <v>180</v>
      </c>
      <c r="E10" s="17" t="s">
        <v>26</v>
      </c>
      <c r="F10" s="21">
        <v>34357.800000000003</v>
      </c>
      <c r="G10" s="22">
        <v>15</v>
      </c>
      <c r="H10" s="22">
        <f t="shared" si="3"/>
        <v>180</v>
      </c>
      <c r="I10" s="63">
        <v>34357.800000000003</v>
      </c>
      <c r="J10" s="63">
        <f t="shared" si="4"/>
        <v>0</v>
      </c>
      <c r="K10" s="24">
        <v>0</v>
      </c>
      <c r="L10" s="60">
        <f t="shared" si="0"/>
        <v>0</v>
      </c>
      <c r="M10" s="31">
        <f t="shared" si="1"/>
        <v>34357.800000000003</v>
      </c>
      <c r="N10" s="31">
        <f>ROUND(F10-M10,0)</f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  <c r="U10" s="100">
        <v>0</v>
      </c>
      <c r="V10" s="100">
        <v>0</v>
      </c>
      <c r="W10" s="100">
        <v>0</v>
      </c>
      <c r="X10" s="100">
        <v>0</v>
      </c>
      <c r="Y10" s="100">
        <v>0</v>
      </c>
      <c r="Z10" s="100">
        <v>0</v>
      </c>
      <c r="AA10" s="100">
        <v>0</v>
      </c>
    </row>
    <row r="11" spans="1:28" x14ac:dyDescent="0.25">
      <c r="A11">
        <v>10</v>
      </c>
      <c r="B11" s="9" t="s">
        <v>15</v>
      </c>
      <c r="C11" s="10" t="s">
        <v>16</v>
      </c>
      <c r="D11" s="11" t="s">
        <v>181</v>
      </c>
      <c r="E11" s="17" t="s">
        <v>27</v>
      </c>
      <c r="F11" s="21">
        <v>1686.67</v>
      </c>
      <c r="G11" s="22">
        <v>30</v>
      </c>
      <c r="H11" s="22">
        <f t="shared" si="3"/>
        <v>360</v>
      </c>
      <c r="I11" s="63">
        <v>1619.9899999999998</v>
      </c>
      <c r="J11" s="63">
        <f t="shared" si="4"/>
        <v>66.680000000000291</v>
      </c>
      <c r="K11" s="66">
        <v>4.78</v>
      </c>
      <c r="L11" s="60">
        <f t="shared" si="0"/>
        <v>57.360000000000007</v>
      </c>
      <c r="M11" s="31">
        <f t="shared" si="1"/>
        <v>1677.3499999999997</v>
      </c>
      <c r="N11" s="31">
        <f t="shared" si="2"/>
        <v>9.3200000000003911</v>
      </c>
      <c r="P11" s="100">
        <v>4.78</v>
      </c>
      <c r="Q11" s="100">
        <v>4.78</v>
      </c>
      <c r="R11" s="100">
        <v>4.78</v>
      </c>
      <c r="S11" s="100">
        <v>4.78</v>
      </c>
      <c r="T11" s="100">
        <v>4.78</v>
      </c>
      <c r="U11" s="100">
        <v>4.78</v>
      </c>
      <c r="V11" s="100">
        <v>4.78</v>
      </c>
      <c r="W11" s="100">
        <v>4.78</v>
      </c>
      <c r="X11" s="100">
        <v>4.78</v>
      </c>
      <c r="Y11" s="100">
        <v>4.78</v>
      </c>
      <c r="Z11" s="100">
        <v>4.78</v>
      </c>
      <c r="AA11" s="100">
        <v>4.78</v>
      </c>
    </row>
    <row r="12" spans="1:28" x14ac:dyDescent="0.25">
      <c r="A12">
        <v>11</v>
      </c>
      <c r="B12" s="9" t="s">
        <v>15</v>
      </c>
      <c r="C12" s="10" t="s">
        <v>16</v>
      </c>
      <c r="D12" s="11" t="s">
        <v>182</v>
      </c>
      <c r="E12" s="17" t="s">
        <v>28</v>
      </c>
      <c r="F12" s="21">
        <v>10940.27</v>
      </c>
      <c r="G12" s="22">
        <v>30</v>
      </c>
      <c r="H12" s="22">
        <f t="shared" si="3"/>
        <v>360</v>
      </c>
      <c r="I12" s="63">
        <v>10406.819999999996</v>
      </c>
      <c r="J12" s="63">
        <f t="shared" si="4"/>
        <v>533.45000000000437</v>
      </c>
      <c r="K12" s="66">
        <v>30.83</v>
      </c>
      <c r="L12" s="60">
        <f t="shared" si="0"/>
        <v>369.95999999999987</v>
      </c>
      <c r="M12" s="31">
        <f t="shared" si="1"/>
        <v>10776.779999999995</v>
      </c>
      <c r="N12" s="31">
        <f t="shared" si="2"/>
        <v>163.49000000000524</v>
      </c>
      <c r="P12" s="100">
        <v>30.83</v>
      </c>
      <c r="Q12" s="100">
        <v>30.83</v>
      </c>
      <c r="R12" s="100">
        <v>30.83</v>
      </c>
      <c r="S12" s="100">
        <v>30.83</v>
      </c>
      <c r="T12" s="100">
        <v>30.83</v>
      </c>
      <c r="U12" s="100">
        <v>30.83</v>
      </c>
      <c r="V12" s="100">
        <v>30.83</v>
      </c>
      <c r="W12" s="100">
        <v>30.83</v>
      </c>
      <c r="X12" s="100">
        <v>30.83</v>
      </c>
      <c r="Y12" s="100">
        <v>30.83</v>
      </c>
      <c r="Z12" s="100">
        <v>30.83</v>
      </c>
      <c r="AA12" s="100">
        <v>30.83</v>
      </c>
    </row>
    <row r="13" spans="1:28" x14ac:dyDescent="0.25">
      <c r="A13">
        <v>12</v>
      </c>
      <c r="B13" s="9" t="s">
        <v>15</v>
      </c>
      <c r="C13" s="10" t="s">
        <v>16</v>
      </c>
      <c r="D13" s="11" t="s">
        <v>29</v>
      </c>
      <c r="E13" s="17" t="s">
        <v>30</v>
      </c>
      <c r="F13" s="21">
        <v>17808.669999999998</v>
      </c>
      <c r="G13" s="22">
        <v>30</v>
      </c>
      <c r="H13" s="22">
        <f t="shared" si="3"/>
        <v>360</v>
      </c>
      <c r="I13" s="63">
        <v>16720.890000000003</v>
      </c>
      <c r="J13" s="63">
        <f t="shared" si="4"/>
        <v>1087.7799999999952</v>
      </c>
      <c r="K13" s="66">
        <v>49.44</v>
      </c>
      <c r="L13" s="60">
        <f t="shared" si="0"/>
        <v>593.28</v>
      </c>
      <c r="M13" s="31">
        <f t="shared" si="1"/>
        <v>17314.170000000002</v>
      </c>
      <c r="N13" s="31">
        <f t="shared" si="2"/>
        <v>494.49999999999636</v>
      </c>
      <c r="P13" s="100">
        <v>49.44</v>
      </c>
      <c r="Q13" s="100">
        <v>49.44</v>
      </c>
      <c r="R13" s="100">
        <v>49.44</v>
      </c>
      <c r="S13" s="100">
        <v>49.44</v>
      </c>
      <c r="T13" s="100">
        <v>49.44</v>
      </c>
      <c r="U13" s="100">
        <v>49.44</v>
      </c>
      <c r="V13" s="100">
        <v>49.44</v>
      </c>
      <c r="W13" s="100">
        <v>49.44</v>
      </c>
      <c r="X13" s="100">
        <v>49.44</v>
      </c>
      <c r="Y13" s="100">
        <v>49.44</v>
      </c>
      <c r="Z13" s="100">
        <v>49.44</v>
      </c>
      <c r="AA13" s="100">
        <v>49.44</v>
      </c>
    </row>
    <row r="14" spans="1:28" x14ac:dyDescent="0.25">
      <c r="A14">
        <v>13</v>
      </c>
      <c r="B14" s="9" t="s">
        <v>15</v>
      </c>
      <c r="C14" s="10" t="s">
        <v>16</v>
      </c>
      <c r="D14" s="11" t="s">
        <v>183</v>
      </c>
      <c r="E14" s="17" t="s">
        <v>31</v>
      </c>
      <c r="F14" s="21">
        <v>2651.5</v>
      </c>
      <c r="G14" s="22">
        <v>30</v>
      </c>
      <c r="H14" s="22">
        <f t="shared" si="3"/>
        <v>360</v>
      </c>
      <c r="I14" s="63">
        <v>2453.5600000000004</v>
      </c>
      <c r="J14" s="63">
        <f t="shared" si="4"/>
        <v>197.9399999999996</v>
      </c>
      <c r="K14" s="66">
        <v>7.62</v>
      </c>
      <c r="L14" s="60">
        <f t="shared" si="0"/>
        <v>91.440000000000012</v>
      </c>
      <c r="M14" s="31">
        <f t="shared" si="1"/>
        <v>2545.0000000000005</v>
      </c>
      <c r="N14" s="31">
        <f t="shared" si="2"/>
        <v>106.49999999999955</v>
      </c>
      <c r="P14" s="100">
        <v>7.62</v>
      </c>
      <c r="Q14" s="100">
        <v>7.62</v>
      </c>
      <c r="R14" s="100">
        <v>7.62</v>
      </c>
      <c r="S14" s="100">
        <v>7.62</v>
      </c>
      <c r="T14" s="100">
        <v>7.62</v>
      </c>
      <c r="U14" s="100">
        <v>7.62</v>
      </c>
      <c r="V14" s="100">
        <v>7.62</v>
      </c>
      <c r="W14" s="100">
        <v>7.62</v>
      </c>
      <c r="X14" s="100">
        <v>7.62</v>
      </c>
      <c r="Y14" s="100">
        <v>7.62</v>
      </c>
      <c r="Z14" s="100">
        <v>7.62</v>
      </c>
      <c r="AA14" s="100">
        <v>7.62</v>
      </c>
    </row>
    <row r="15" spans="1:28" x14ac:dyDescent="0.25">
      <c r="A15">
        <v>14</v>
      </c>
      <c r="B15" s="9" t="s">
        <v>15</v>
      </c>
      <c r="C15" s="10" t="s">
        <v>16</v>
      </c>
      <c r="D15" s="11" t="s">
        <v>32</v>
      </c>
      <c r="E15" s="17" t="s">
        <v>33</v>
      </c>
      <c r="F15" s="21">
        <v>3082</v>
      </c>
      <c r="G15" s="22">
        <v>30</v>
      </c>
      <c r="H15" s="22">
        <f t="shared" si="3"/>
        <v>360</v>
      </c>
      <c r="I15" s="63">
        <v>2107.5699999999997</v>
      </c>
      <c r="J15" s="63">
        <f t="shared" si="4"/>
        <v>974.43000000000029</v>
      </c>
      <c r="K15" s="66">
        <v>8.5500000000000007</v>
      </c>
      <c r="L15" s="60">
        <f t="shared" si="0"/>
        <v>102.59999999999998</v>
      </c>
      <c r="M15" s="31">
        <f t="shared" si="1"/>
        <v>2210.1699999999996</v>
      </c>
      <c r="N15" s="31">
        <f t="shared" si="2"/>
        <v>871.83000000000038</v>
      </c>
      <c r="P15" s="100">
        <v>8.5500000000000007</v>
      </c>
      <c r="Q15" s="100">
        <v>8.5500000000000007</v>
      </c>
      <c r="R15" s="100">
        <v>8.5500000000000007</v>
      </c>
      <c r="S15" s="100">
        <v>8.5500000000000007</v>
      </c>
      <c r="T15" s="100">
        <v>8.5500000000000007</v>
      </c>
      <c r="U15" s="100">
        <v>8.5500000000000007</v>
      </c>
      <c r="V15" s="100">
        <v>8.5500000000000007</v>
      </c>
      <c r="W15" s="100">
        <v>8.5500000000000007</v>
      </c>
      <c r="X15" s="100">
        <v>8.5500000000000007</v>
      </c>
      <c r="Y15" s="100">
        <v>8.5500000000000007</v>
      </c>
      <c r="Z15" s="100">
        <v>8.5500000000000007</v>
      </c>
      <c r="AA15" s="100">
        <v>8.5500000000000007</v>
      </c>
    </row>
    <row r="16" spans="1:28" x14ac:dyDescent="0.25">
      <c r="A16">
        <v>15</v>
      </c>
      <c r="B16" s="9" t="s">
        <v>15</v>
      </c>
      <c r="C16" s="10" t="s">
        <v>16</v>
      </c>
      <c r="D16" s="11" t="s">
        <v>34</v>
      </c>
      <c r="E16" s="17" t="s">
        <v>35</v>
      </c>
      <c r="F16" s="21">
        <v>39520.660000000003</v>
      </c>
      <c r="G16" s="22">
        <v>30</v>
      </c>
      <c r="H16" s="22">
        <f t="shared" si="3"/>
        <v>360</v>
      </c>
      <c r="I16" s="63">
        <v>24910.67</v>
      </c>
      <c r="J16" s="63">
        <f t="shared" si="4"/>
        <v>14609.990000000005</v>
      </c>
      <c r="K16" s="66">
        <v>110.69</v>
      </c>
      <c r="L16" s="60">
        <f t="shared" si="0"/>
        <v>1328.2800000000004</v>
      </c>
      <c r="M16" s="31">
        <f t="shared" si="1"/>
        <v>26238.949999999997</v>
      </c>
      <c r="N16" s="31">
        <f t="shared" si="2"/>
        <v>13281.710000000006</v>
      </c>
      <c r="P16" s="100">
        <v>110.69</v>
      </c>
      <c r="Q16" s="100">
        <v>110.69</v>
      </c>
      <c r="R16" s="100">
        <v>110.69</v>
      </c>
      <c r="S16" s="100">
        <v>110.69</v>
      </c>
      <c r="T16" s="100">
        <v>110.69</v>
      </c>
      <c r="U16" s="100">
        <v>110.69</v>
      </c>
      <c r="V16" s="100">
        <v>110.69</v>
      </c>
      <c r="W16" s="100">
        <v>110.69</v>
      </c>
      <c r="X16" s="100">
        <v>110.69</v>
      </c>
      <c r="Y16" s="100">
        <v>110.69</v>
      </c>
      <c r="Z16" s="100">
        <v>110.69</v>
      </c>
      <c r="AA16" s="100">
        <v>110.69</v>
      </c>
    </row>
    <row r="17" spans="1:27" x14ac:dyDescent="0.25">
      <c r="A17">
        <v>16</v>
      </c>
      <c r="B17" s="9" t="s">
        <v>15</v>
      </c>
      <c r="C17" s="10" t="s">
        <v>16</v>
      </c>
      <c r="D17" s="25" t="s">
        <v>184</v>
      </c>
      <c r="E17" s="26">
        <v>42917</v>
      </c>
      <c r="F17" s="18">
        <v>4650</v>
      </c>
      <c r="G17" s="19">
        <v>10</v>
      </c>
      <c r="H17" s="19">
        <f t="shared" si="3"/>
        <v>120</v>
      </c>
      <c r="I17" s="63">
        <v>2790</v>
      </c>
      <c r="J17" s="63">
        <f t="shared" si="4"/>
        <v>1860</v>
      </c>
      <c r="K17" s="13">
        <f t="shared" ref="K17:K29" si="5">F17/H17</f>
        <v>38.75</v>
      </c>
      <c r="L17" s="60">
        <f t="shared" si="0"/>
        <v>465</v>
      </c>
      <c r="M17" s="31">
        <f t="shared" si="1"/>
        <v>3255</v>
      </c>
      <c r="N17" s="31">
        <f t="shared" si="2"/>
        <v>1395</v>
      </c>
      <c r="P17" s="100">
        <v>38.75</v>
      </c>
      <c r="Q17" s="100">
        <v>38.75</v>
      </c>
      <c r="R17" s="100">
        <v>38.75</v>
      </c>
      <c r="S17" s="100">
        <v>38.75</v>
      </c>
      <c r="T17" s="100">
        <v>38.75</v>
      </c>
      <c r="U17" s="100">
        <v>38.75</v>
      </c>
      <c r="V17" s="100">
        <v>38.75</v>
      </c>
      <c r="W17" s="100">
        <v>38.75</v>
      </c>
      <c r="X17" s="100">
        <v>38.75</v>
      </c>
      <c r="Y17" s="100">
        <v>38.75</v>
      </c>
      <c r="Z17" s="100">
        <v>38.75</v>
      </c>
      <c r="AA17" s="100">
        <v>38.75</v>
      </c>
    </row>
    <row r="18" spans="1:27" x14ac:dyDescent="0.25">
      <c r="A18">
        <v>17</v>
      </c>
      <c r="B18" s="9" t="s">
        <v>15</v>
      </c>
      <c r="C18" s="10" t="s">
        <v>16</v>
      </c>
      <c r="D18" s="16" t="s">
        <v>185</v>
      </c>
      <c r="E18" s="26">
        <v>43070</v>
      </c>
      <c r="F18" s="18">
        <f>46065.03+43836.33+12000+6188.25+1800+12257.11</f>
        <v>122146.72</v>
      </c>
      <c r="G18" s="19">
        <v>15</v>
      </c>
      <c r="H18" s="19">
        <f t="shared" si="3"/>
        <v>180</v>
      </c>
      <c r="I18" s="63">
        <v>45465.668666666665</v>
      </c>
      <c r="J18" s="63">
        <f t="shared" si="4"/>
        <v>76681.051333333337</v>
      </c>
      <c r="K18" s="13">
        <f t="shared" si="5"/>
        <v>678.59288888888887</v>
      </c>
      <c r="L18" s="60">
        <f t="shared" si="0"/>
        <v>8143.0800000000008</v>
      </c>
      <c r="M18" s="31">
        <f t="shared" si="1"/>
        <v>53608.748666666666</v>
      </c>
      <c r="N18" s="31">
        <f t="shared" si="2"/>
        <v>68537.971333333335</v>
      </c>
      <c r="P18" s="100">
        <v>678.59</v>
      </c>
      <c r="Q18" s="100">
        <v>678.59</v>
      </c>
      <c r="R18" s="100">
        <v>678.59</v>
      </c>
      <c r="S18" s="100">
        <v>678.59</v>
      </c>
      <c r="T18" s="100">
        <v>678.59</v>
      </c>
      <c r="U18" s="100">
        <v>678.59</v>
      </c>
      <c r="V18" s="100">
        <v>678.59</v>
      </c>
      <c r="W18" s="100">
        <v>678.59</v>
      </c>
      <c r="X18" s="100">
        <v>678.59</v>
      </c>
      <c r="Y18" s="100">
        <v>678.59</v>
      </c>
      <c r="Z18" s="100">
        <v>678.59</v>
      </c>
      <c r="AA18" s="100">
        <v>678.59</v>
      </c>
    </row>
    <row r="19" spans="1:27" x14ac:dyDescent="0.25">
      <c r="A19">
        <v>18</v>
      </c>
      <c r="B19" s="9" t="s">
        <v>15</v>
      </c>
      <c r="C19" s="10" t="s">
        <v>16</v>
      </c>
      <c r="D19" s="16" t="s">
        <v>187</v>
      </c>
      <c r="E19" s="26">
        <v>43070</v>
      </c>
      <c r="F19" s="18">
        <v>7299.16</v>
      </c>
      <c r="G19" s="19">
        <v>15</v>
      </c>
      <c r="H19" s="19">
        <f t="shared" si="3"/>
        <v>180</v>
      </c>
      <c r="I19" s="63">
        <v>2716.8926666666662</v>
      </c>
      <c r="J19" s="63">
        <f t="shared" si="4"/>
        <v>4582.2673333333332</v>
      </c>
      <c r="K19" s="13">
        <f t="shared" si="5"/>
        <v>40.550888888888885</v>
      </c>
      <c r="L19" s="60">
        <f t="shared" si="0"/>
        <v>486.60000000000008</v>
      </c>
      <c r="M19" s="31">
        <f t="shared" si="1"/>
        <v>3203.4926666666661</v>
      </c>
      <c r="N19" s="31">
        <f t="shared" si="2"/>
        <v>4095.6673333333338</v>
      </c>
      <c r="P19" s="100">
        <v>40.549999999999997</v>
      </c>
      <c r="Q19" s="100">
        <v>40.549999999999997</v>
      </c>
      <c r="R19" s="100">
        <v>40.549999999999997</v>
      </c>
      <c r="S19" s="100">
        <v>40.549999999999997</v>
      </c>
      <c r="T19" s="100">
        <v>40.549999999999997</v>
      </c>
      <c r="U19" s="100">
        <v>40.549999999999997</v>
      </c>
      <c r="V19" s="100">
        <v>40.549999999999997</v>
      </c>
      <c r="W19" s="100">
        <v>40.549999999999997</v>
      </c>
      <c r="X19" s="100">
        <v>40.549999999999997</v>
      </c>
      <c r="Y19" s="100">
        <v>40.549999999999997</v>
      </c>
      <c r="Z19" s="100">
        <v>40.549999999999997</v>
      </c>
      <c r="AA19" s="100">
        <v>40.549999999999997</v>
      </c>
    </row>
    <row r="20" spans="1:27" x14ac:dyDescent="0.25">
      <c r="A20">
        <v>19</v>
      </c>
      <c r="B20" s="9" t="s">
        <v>15</v>
      </c>
      <c r="C20" s="10" t="s">
        <v>16</v>
      </c>
      <c r="D20" s="16" t="s">
        <v>186</v>
      </c>
      <c r="E20" s="26">
        <v>43070</v>
      </c>
      <c r="F20" s="18">
        <v>6132.67</v>
      </c>
      <c r="G20" s="19">
        <v>15</v>
      </c>
      <c r="H20" s="19">
        <f t="shared" si="3"/>
        <v>180</v>
      </c>
      <c r="I20" s="63">
        <v>2282.7086666666669</v>
      </c>
      <c r="J20" s="63">
        <f t="shared" si="4"/>
        <v>3849.9613333333332</v>
      </c>
      <c r="K20" s="13">
        <f t="shared" si="5"/>
        <v>34.070388888888893</v>
      </c>
      <c r="L20" s="60">
        <f t="shared" si="0"/>
        <v>408.84</v>
      </c>
      <c r="M20" s="31">
        <f t="shared" si="1"/>
        <v>2691.548666666667</v>
      </c>
      <c r="N20" s="31">
        <f t="shared" si="2"/>
        <v>3441.121333333333</v>
      </c>
      <c r="P20" s="100">
        <v>34.07</v>
      </c>
      <c r="Q20" s="100">
        <v>34.07</v>
      </c>
      <c r="R20" s="100">
        <v>34.07</v>
      </c>
      <c r="S20" s="100">
        <v>34.07</v>
      </c>
      <c r="T20" s="100">
        <v>34.07</v>
      </c>
      <c r="U20" s="100">
        <v>34.07</v>
      </c>
      <c r="V20" s="100">
        <v>34.07</v>
      </c>
      <c r="W20" s="100">
        <v>34.07</v>
      </c>
      <c r="X20" s="100">
        <v>34.07</v>
      </c>
      <c r="Y20" s="100">
        <v>34.07</v>
      </c>
      <c r="Z20" s="100">
        <v>34.07</v>
      </c>
      <c r="AA20" s="100">
        <v>34.07</v>
      </c>
    </row>
    <row r="21" spans="1:27" x14ac:dyDescent="0.25">
      <c r="A21">
        <v>20</v>
      </c>
      <c r="B21" s="9" t="s">
        <v>15</v>
      </c>
      <c r="C21" s="10" t="s">
        <v>16</v>
      </c>
      <c r="D21" s="16" t="s">
        <v>188</v>
      </c>
      <c r="E21" s="26">
        <v>43344</v>
      </c>
      <c r="F21" s="18">
        <v>3700.54</v>
      </c>
      <c r="G21" s="19">
        <v>10</v>
      </c>
      <c r="H21" s="19">
        <f t="shared" si="3"/>
        <v>120</v>
      </c>
      <c r="I21" s="63">
        <v>1788.6159999999995</v>
      </c>
      <c r="J21" s="63">
        <f t="shared" si="4"/>
        <v>1911.9240000000004</v>
      </c>
      <c r="K21" s="13">
        <f t="shared" si="5"/>
        <v>30.837833333333332</v>
      </c>
      <c r="L21" s="60">
        <f t="shared" si="0"/>
        <v>370.07999999999993</v>
      </c>
      <c r="M21" s="31">
        <f t="shared" si="1"/>
        <v>2158.6959999999995</v>
      </c>
      <c r="N21" s="31">
        <f t="shared" si="2"/>
        <v>1541.8440000000005</v>
      </c>
      <c r="P21" s="100">
        <v>30.84</v>
      </c>
      <c r="Q21" s="100">
        <v>30.84</v>
      </c>
      <c r="R21" s="100">
        <v>30.84</v>
      </c>
      <c r="S21" s="100">
        <v>30.84</v>
      </c>
      <c r="T21" s="100">
        <v>30.84</v>
      </c>
      <c r="U21" s="100">
        <v>30.84</v>
      </c>
      <c r="V21" s="100">
        <v>30.84</v>
      </c>
      <c r="W21" s="100">
        <v>30.84</v>
      </c>
      <c r="X21" s="100">
        <v>30.84</v>
      </c>
      <c r="Y21" s="100">
        <v>30.84</v>
      </c>
      <c r="Z21" s="100">
        <v>30.84</v>
      </c>
      <c r="AA21" s="100">
        <v>30.84</v>
      </c>
    </row>
    <row r="22" spans="1:27" x14ac:dyDescent="0.25">
      <c r="A22">
        <v>21</v>
      </c>
      <c r="B22" s="9" t="s">
        <v>15</v>
      </c>
      <c r="C22" s="10" t="s">
        <v>16</v>
      </c>
      <c r="D22" s="127" t="s">
        <v>189</v>
      </c>
      <c r="E22" s="26">
        <v>43374</v>
      </c>
      <c r="F22" s="18">
        <v>9590</v>
      </c>
      <c r="G22" s="19">
        <v>20</v>
      </c>
      <c r="H22" s="19">
        <f t="shared" si="3"/>
        <v>240</v>
      </c>
      <c r="I22" s="63">
        <v>2277.64</v>
      </c>
      <c r="J22" s="63">
        <f t="shared" si="4"/>
        <v>7312.3600000000006</v>
      </c>
      <c r="K22" s="13">
        <f t="shared" si="5"/>
        <v>39.958333333333336</v>
      </c>
      <c r="L22" s="60">
        <f t="shared" si="0"/>
        <v>479.51999999999992</v>
      </c>
      <c r="M22" s="31">
        <f t="shared" si="1"/>
        <v>2757.16</v>
      </c>
      <c r="N22" s="31">
        <f t="shared" si="2"/>
        <v>6832.84</v>
      </c>
      <c r="P22" s="100">
        <v>39.96</v>
      </c>
      <c r="Q22" s="100">
        <v>39.96</v>
      </c>
      <c r="R22" s="100">
        <v>39.96</v>
      </c>
      <c r="S22" s="100">
        <v>39.96</v>
      </c>
      <c r="T22" s="100">
        <v>39.96</v>
      </c>
      <c r="U22" s="100">
        <v>39.96</v>
      </c>
      <c r="V22" s="100">
        <v>39.96</v>
      </c>
      <c r="W22" s="100">
        <v>39.96</v>
      </c>
      <c r="X22" s="100">
        <v>39.96</v>
      </c>
      <c r="Y22" s="100">
        <v>39.96</v>
      </c>
      <c r="Z22" s="100">
        <v>39.96</v>
      </c>
      <c r="AA22" s="100">
        <v>39.96</v>
      </c>
    </row>
    <row r="23" spans="1:27" x14ac:dyDescent="0.25">
      <c r="A23">
        <v>22</v>
      </c>
      <c r="B23" s="9" t="s">
        <v>15</v>
      </c>
      <c r="C23" s="10" t="s">
        <v>16</v>
      </c>
      <c r="D23" s="27" t="s">
        <v>190</v>
      </c>
      <c r="E23" s="28">
        <v>43405</v>
      </c>
      <c r="F23" s="29">
        <f>3500+4324.13-982</f>
        <v>6842.13</v>
      </c>
      <c r="G23" s="19">
        <v>5</v>
      </c>
      <c r="H23" s="19">
        <f t="shared" si="3"/>
        <v>60</v>
      </c>
      <c r="I23" s="63">
        <v>6386.0239999999985</v>
      </c>
      <c r="J23" s="63">
        <f t="shared" si="4"/>
        <v>456.10600000000159</v>
      </c>
      <c r="K23" s="13">
        <v>0</v>
      </c>
      <c r="L23" s="60">
        <f t="shared" si="0"/>
        <v>456.11</v>
      </c>
      <c r="M23" s="31">
        <f t="shared" si="1"/>
        <v>6842.1339999999982</v>
      </c>
      <c r="N23" s="31">
        <f t="shared" si="2"/>
        <v>-3.9999999980864231E-3</v>
      </c>
      <c r="P23" s="100">
        <v>114.04</v>
      </c>
      <c r="Q23" s="100">
        <v>114.04</v>
      </c>
      <c r="R23" s="100">
        <v>114.04</v>
      </c>
      <c r="S23" s="100">
        <v>113.99</v>
      </c>
      <c r="T23" s="100"/>
      <c r="U23" s="100"/>
      <c r="V23" s="100"/>
      <c r="W23" s="100"/>
      <c r="X23" s="100"/>
      <c r="Y23" s="100"/>
      <c r="Z23" s="100"/>
      <c r="AA23" s="100"/>
    </row>
    <row r="24" spans="1:27" x14ac:dyDescent="0.25">
      <c r="A24">
        <v>23</v>
      </c>
      <c r="B24" s="9" t="s">
        <v>15</v>
      </c>
      <c r="C24" s="10" t="s">
        <v>16</v>
      </c>
      <c r="D24" s="16" t="s">
        <v>191</v>
      </c>
      <c r="E24" s="28">
        <v>43530</v>
      </c>
      <c r="F24" s="18">
        <v>27078</v>
      </c>
      <c r="G24" s="19">
        <v>10</v>
      </c>
      <c r="H24" s="19">
        <f t="shared" si="3"/>
        <v>120</v>
      </c>
      <c r="I24" s="63">
        <v>11733.800000000003</v>
      </c>
      <c r="J24" s="63">
        <f t="shared" si="4"/>
        <v>15344.199999999997</v>
      </c>
      <c r="K24" s="13">
        <f t="shared" si="5"/>
        <v>225.65</v>
      </c>
      <c r="L24" s="60">
        <f t="shared" si="0"/>
        <v>2707.8000000000006</v>
      </c>
      <c r="M24" s="31">
        <f t="shared" si="1"/>
        <v>14441.600000000004</v>
      </c>
      <c r="N24" s="31">
        <f t="shared" si="2"/>
        <v>12636.399999999996</v>
      </c>
      <c r="P24" s="100">
        <v>225.65</v>
      </c>
      <c r="Q24" s="100">
        <v>225.65</v>
      </c>
      <c r="R24" s="100">
        <v>225.65</v>
      </c>
      <c r="S24" s="100">
        <v>225.65</v>
      </c>
      <c r="T24" s="100">
        <v>225.65</v>
      </c>
      <c r="U24" s="100">
        <v>225.65</v>
      </c>
      <c r="V24" s="100">
        <v>225.65</v>
      </c>
      <c r="W24" s="100">
        <v>225.65</v>
      </c>
      <c r="X24" s="100">
        <v>225.65</v>
      </c>
      <c r="Y24" s="100">
        <v>225.65</v>
      </c>
      <c r="Z24" s="100">
        <v>225.65</v>
      </c>
      <c r="AA24" s="100">
        <v>225.65</v>
      </c>
    </row>
    <row r="25" spans="1:27" x14ac:dyDescent="0.25">
      <c r="A25">
        <v>24</v>
      </c>
      <c r="B25" s="9" t="s">
        <v>15</v>
      </c>
      <c r="C25" s="10" t="s">
        <v>16</v>
      </c>
      <c r="D25" s="16" t="s">
        <v>192</v>
      </c>
      <c r="E25" s="28">
        <v>43591</v>
      </c>
      <c r="F25" s="18">
        <f>23203*0.66666681</f>
        <v>15468.669992430001</v>
      </c>
      <c r="G25" s="19">
        <v>10</v>
      </c>
      <c r="H25" s="19">
        <f t="shared" si="3"/>
        <v>120</v>
      </c>
      <c r="I25" s="63">
        <v>6445.2879969719988</v>
      </c>
      <c r="J25" s="63">
        <f t="shared" si="4"/>
        <v>9023.3819954580031</v>
      </c>
      <c r="K25" s="13">
        <f t="shared" si="5"/>
        <v>128.90558327025002</v>
      </c>
      <c r="L25" s="60">
        <f t="shared" si="0"/>
        <v>1546.9200000000003</v>
      </c>
      <c r="M25" s="31">
        <f t="shared" si="1"/>
        <v>7992.2079969719989</v>
      </c>
      <c r="N25" s="31">
        <f t="shared" si="2"/>
        <v>7476.4619954580021</v>
      </c>
      <c r="P25" s="100">
        <v>128.91</v>
      </c>
      <c r="Q25" s="100">
        <v>128.91</v>
      </c>
      <c r="R25" s="100">
        <v>128.91</v>
      </c>
      <c r="S25" s="100">
        <v>128.91</v>
      </c>
      <c r="T25" s="100">
        <v>128.91</v>
      </c>
      <c r="U25" s="100">
        <v>128.91</v>
      </c>
      <c r="V25" s="100">
        <v>128.91</v>
      </c>
      <c r="W25" s="100">
        <v>128.91</v>
      </c>
      <c r="X25" s="100">
        <v>128.91</v>
      </c>
      <c r="Y25" s="100">
        <v>128.91</v>
      </c>
      <c r="Z25" s="100">
        <v>128.91</v>
      </c>
      <c r="AA25" s="100">
        <v>128.91</v>
      </c>
    </row>
    <row r="26" spans="1:27" x14ac:dyDescent="0.25">
      <c r="A26">
        <v>25</v>
      </c>
      <c r="B26" s="9" t="s">
        <v>15</v>
      </c>
      <c r="C26" s="10" t="s">
        <v>16</v>
      </c>
      <c r="D26" s="16" t="s">
        <v>193</v>
      </c>
      <c r="E26" s="28">
        <v>43621</v>
      </c>
      <c r="F26" s="18">
        <v>1953.33</v>
      </c>
      <c r="G26" s="19">
        <v>15</v>
      </c>
      <c r="H26" s="19">
        <f t="shared" si="3"/>
        <v>180</v>
      </c>
      <c r="I26" s="63">
        <v>531.73799999999994</v>
      </c>
      <c r="J26" s="63">
        <f t="shared" si="4"/>
        <v>1421.5920000000001</v>
      </c>
      <c r="K26" s="13">
        <f t="shared" si="5"/>
        <v>10.851833333333333</v>
      </c>
      <c r="L26" s="60">
        <f t="shared" si="0"/>
        <v>130.19999999999996</v>
      </c>
      <c r="M26" s="31">
        <f t="shared" si="1"/>
        <v>661.93799999999987</v>
      </c>
      <c r="N26" s="31">
        <f t="shared" si="2"/>
        <v>1291.3920000000001</v>
      </c>
      <c r="P26" s="100">
        <v>10.85</v>
      </c>
      <c r="Q26" s="100">
        <v>10.85</v>
      </c>
      <c r="R26" s="100">
        <v>10.85</v>
      </c>
      <c r="S26" s="100">
        <v>10.85</v>
      </c>
      <c r="T26" s="100">
        <v>10.85</v>
      </c>
      <c r="U26" s="100">
        <v>10.85</v>
      </c>
      <c r="V26" s="100">
        <v>10.85</v>
      </c>
      <c r="W26" s="100">
        <v>10.85</v>
      </c>
      <c r="X26" s="100">
        <v>10.85</v>
      </c>
      <c r="Y26" s="100">
        <v>10.85</v>
      </c>
      <c r="Z26" s="100">
        <v>10.85</v>
      </c>
      <c r="AA26" s="100">
        <v>10.85</v>
      </c>
    </row>
    <row r="27" spans="1:27" x14ac:dyDescent="0.25">
      <c r="A27">
        <v>26</v>
      </c>
      <c r="B27" s="9" t="s">
        <v>15</v>
      </c>
      <c r="C27" s="10" t="s">
        <v>16</v>
      </c>
      <c r="D27" s="128" t="s">
        <v>194</v>
      </c>
      <c r="E27" s="28">
        <v>43734</v>
      </c>
      <c r="F27" s="18">
        <f>19784.48+3278.85</f>
        <v>23063.329999999998</v>
      </c>
      <c r="G27" s="19">
        <v>10</v>
      </c>
      <c r="H27" s="19">
        <f t="shared" si="3"/>
        <v>120</v>
      </c>
      <c r="I27" s="63">
        <v>8840.9431666666678</v>
      </c>
      <c r="J27" s="63">
        <f t="shared" si="4"/>
        <v>14222.38683333333</v>
      </c>
      <c r="K27" s="13">
        <f t="shared" si="5"/>
        <v>192.19441666666665</v>
      </c>
      <c r="L27" s="60">
        <f t="shared" si="0"/>
        <v>2306.2800000000002</v>
      </c>
      <c r="M27" s="31">
        <f t="shared" si="1"/>
        <v>11147.223166666668</v>
      </c>
      <c r="N27" s="31">
        <f t="shared" si="2"/>
        <v>11916.10683333333</v>
      </c>
      <c r="P27" s="100">
        <v>192.19</v>
      </c>
      <c r="Q27" s="100">
        <v>192.19</v>
      </c>
      <c r="R27" s="100">
        <v>192.19</v>
      </c>
      <c r="S27" s="100">
        <v>192.19</v>
      </c>
      <c r="T27" s="100">
        <v>192.19</v>
      </c>
      <c r="U27" s="100">
        <v>192.19</v>
      </c>
      <c r="V27" s="100">
        <v>192.19</v>
      </c>
      <c r="W27" s="100">
        <v>192.19</v>
      </c>
      <c r="X27" s="100">
        <v>192.19</v>
      </c>
      <c r="Y27" s="100">
        <v>192.19</v>
      </c>
      <c r="Z27" s="100">
        <v>192.19</v>
      </c>
      <c r="AA27" s="100">
        <v>192.19</v>
      </c>
    </row>
    <row r="28" spans="1:27" x14ac:dyDescent="0.25">
      <c r="A28">
        <v>27</v>
      </c>
      <c r="B28" s="9" t="s">
        <v>15</v>
      </c>
      <c r="C28" s="10" t="s">
        <v>16</v>
      </c>
      <c r="D28" s="16" t="s">
        <v>195</v>
      </c>
      <c r="E28" s="28">
        <v>43734</v>
      </c>
      <c r="F28" s="18">
        <v>2360</v>
      </c>
      <c r="G28" s="19">
        <v>10</v>
      </c>
      <c r="H28" s="19">
        <f t="shared" si="3"/>
        <v>120</v>
      </c>
      <c r="I28" s="63">
        <v>904.66666666666663</v>
      </c>
      <c r="J28" s="63">
        <f t="shared" si="4"/>
        <v>1455.3333333333335</v>
      </c>
      <c r="K28" s="13">
        <f t="shared" si="5"/>
        <v>19.666666666666668</v>
      </c>
      <c r="L28" s="60">
        <f t="shared" si="0"/>
        <v>236.04000000000008</v>
      </c>
      <c r="M28" s="31">
        <f t="shared" si="1"/>
        <v>1140.7066666666667</v>
      </c>
      <c r="N28" s="31">
        <f t="shared" si="2"/>
        <v>1219.2933333333333</v>
      </c>
      <c r="P28" s="100">
        <v>19.670000000000002</v>
      </c>
      <c r="Q28" s="100">
        <v>19.670000000000002</v>
      </c>
      <c r="R28" s="100">
        <v>19.670000000000002</v>
      </c>
      <c r="S28" s="100">
        <v>19.670000000000002</v>
      </c>
      <c r="T28" s="100">
        <v>19.670000000000002</v>
      </c>
      <c r="U28" s="100">
        <v>19.670000000000002</v>
      </c>
      <c r="V28" s="100">
        <v>19.670000000000002</v>
      </c>
      <c r="W28" s="100">
        <v>19.670000000000002</v>
      </c>
      <c r="X28" s="100">
        <v>19.670000000000002</v>
      </c>
      <c r="Y28" s="100">
        <v>19.670000000000002</v>
      </c>
      <c r="Z28" s="100">
        <v>19.670000000000002</v>
      </c>
      <c r="AA28" s="100">
        <v>19.670000000000002</v>
      </c>
    </row>
    <row r="29" spans="1:27" x14ac:dyDescent="0.25">
      <c r="A29">
        <v>28</v>
      </c>
      <c r="B29" s="9" t="s">
        <v>15</v>
      </c>
      <c r="C29" s="10" t="s">
        <v>16</v>
      </c>
      <c r="D29" s="127" t="s">
        <v>196</v>
      </c>
      <c r="E29" s="28">
        <v>43781</v>
      </c>
      <c r="F29" s="18">
        <f>6555+6877.5+12787.5</f>
        <v>26220</v>
      </c>
      <c r="G29" s="19">
        <v>10</v>
      </c>
      <c r="H29" s="19">
        <f t="shared" si="3"/>
        <v>120</v>
      </c>
      <c r="I29" s="63">
        <v>9614</v>
      </c>
      <c r="J29" s="63">
        <f t="shared" si="4"/>
        <v>16606</v>
      </c>
      <c r="K29" s="13">
        <f t="shared" si="5"/>
        <v>218.5</v>
      </c>
      <c r="L29" s="60">
        <f t="shared" si="0"/>
        <v>2622</v>
      </c>
      <c r="M29" s="31">
        <f t="shared" si="1"/>
        <v>12236</v>
      </c>
      <c r="N29" s="31">
        <f t="shared" si="2"/>
        <v>13984</v>
      </c>
      <c r="P29" s="100">
        <v>218.5</v>
      </c>
      <c r="Q29" s="100">
        <v>218.5</v>
      </c>
      <c r="R29" s="100">
        <v>218.5</v>
      </c>
      <c r="S29" s="100">
        <v>218.5</v>
      </c>
      <c r="T29" s="100">
        <v>218.5</v>
      </c>
      <c r="U29" s="100">
        <v>218.5</v>
      </c>
      <c r="V29" s="100">
        <v>218.5</v>
      </c>
      <c r="W29" s="100">
        <v>218.5</v>
      </c>
      <c r="X29" s="100">
        <v>218.5</v>
      </c>
      <c r="Y29" s="100">
        <v>218.5</v>
      </c>
      <c r="Z29" s="100">
        <v>218.5</v>
      </c>
      <c r="AA29" s="100">
        <v>218.5</v>
      </c>
    </row>
    <row r="30" spans="1:27" x14ac:dyDescent="0.25">
      <c r="A30">
        <v>29</v>
      </c>
      <c r="B30" s="30" t="s">
        <v>36</v>
      </c>
      <c r="C30" s="10" t="s">
        <v>37</v>
      </c>
      <c r="D30" s="16" t="s">
        <v>38</v>
      </c>
      <c r="E30" s="17">
        <v>35217</v>
      </c>
      <c r="F30" s="18">
        <v>28043.5</v>
      </c>
      <c r="G30" s="19">
        <v>39</v>
      </c>
      <c r="H30" s="19">
        <f t="shared" si="3"/>
        <v>468</v>
      </c>
      <c r="I30" s="63">
        <v>19414.176410256408</v>
      </c>
      <c r="J30" s="63">
        <v>10067.451794871795</v>
      </c>
      <c r="K30" s="13">
        <f>F30/H30</f>
        <v>59.922008547008545</v>
      </c>
      <c r="L30" s="60">
        <f t="shared" si="0"/>
        <v>719.04</v>
      </c>
      <c r="M30" s="31">
        <f t="shared" si="1"/>
        <v>20133.216410256409</v>
      </c>
      <c r="N30" s="31">
        <f t="shared" si="2"/>
        <v>7910.2835897435907</v>
      </c>
      <c r="P30" s="100">
        <v>59.92</v>
      </c>
      <c r="Q30" s="100">
        <v>59.92</v>
      </c>
      <c r="R30" s="100">
        <v>59.92</v>
      </c>
      <c r="S30" s="100">
        <v>59.92</v>
      </c>
      <c r="T30" s="100">
        <v>59.92</v>
      </c>
      <c r="U30" s="100">
        <v>59.92</v>
      </c>
      <c r="V30" s="100">
        <v>59.92</v>
      </c>
      <c r="W30" s="100">
        <v>59.92</v>
      </c>
      <c r="X30" s="100">
        <v>59.92</v>
      </c>
      <c r="Y30" s="100">
        <v>59.92</v>
      </c>
      <c r="Z30" s="100">
        <v>59.92</v>
      </c>
      <c r="AA30" s="100">
        <v>59.92</v>
      </c>
    </row>
    <row r="31" spans="1:27" x14ac:dyDescent="0.25">
      <c r="A31">
        <v>30</v>
      </c>
      <c r="B31" s="30" t="s">
        <v>36</v>
      </c>
      <c r="C31" s="10" t="s">
        <v>37</v>
      </c>
      <c r="D31" s="16" t="s">
        <v>197</v>
      </c>
      <c r="E31" s="17">
        <v>43252</v>
      </c>
      <c r="F31" s="18">
        <f>674.06+524.5</f>
        <v>1198.56</v>
      </c>
      <c r="G31" s="19">
        <v>10</v>
      </c>
      <c r="H31" s="19">
        <f t="shared" si="3"/>
        <v>120</v>
      </c>
      <c r="I31" s="63">
        <v>609.26800000000003</v>
      </c>
      <c r="J31" s="63">
        <v>829.00399999999991</v>
      </c>
      <c r="K31" s="13">
        <f>F31/H31</f>
        <v>9.9879999999999995</v>
      </c>
      <c r="L31" s="60">
        <f t="shared" si="0"/>
        <v>119.87999999999998</v>
      </c>
      <c r="M31" s="31">
        <f t="shared" si="1"/>
        <v>729.14800000000002</v>
      </c>
      <c r="N31" s="31">
        <f t="shared" si="2"/>
        <v>469.41199999999992</v>
      </c>
      <c r="P31" s="100">
        <v>9.99</v>
      </c>
      <c r="Q31" s="100">
        <v>9.99</v>
      </c>
      <c r="R31" s="100">
        <v>9.99</v>
      </c>
      <c r="S31" s="100">
        <v>9.99</v>
      </c>
      <c r="T31" s="100">
        <v>9.99</v>
      </c>
      <c r="U31" s="100">
        <v>9.99</v>
      </c>
      <c r="V31" s="100">
        <v>9.99</v>
      </c>
      <c r="W31" s="100">
        <v>9.99</v>
      </c>
      <c r="X31" s="100">
        <v>9.99</v>
      </c>
      <c r="Y31" s="100">
        <v>9.99</v>
      </c>
      <c r="Z31" s="100">
        <v>9.99</v>
      </c>
      <c r="AA31" s="100">
        <v>9.99</v>
      </c>
    </row>
    <row r="32" spans="1:27" x14ac:dyDescent="0.25">
      <c r="A32">
        <v>31</v>
      </c>
      <c r="B32" s="30" t="s">
        <v>39</v>
      </c>
      <c r="C32" s="10" t="s">
        <v>40</v>
      </c>
      <c r="D32" s="25" t="s">
        <v>41</v>
      </c>
      <c r="E32" s="32" t="s">
        <v>42</v>
      </c>
      <c r="F32" s="33">
        <v>1275</v>
      </c>
      <c r="G32" s="34">
        <v>5</v>
      </c>
      <c r="H32" s="34">
        <f t="shared" si="3"/>
        <v>60</v>
      </c>
      <c r="I32" s="63">
        <v>1275</v>
      </c>
      <c r="J32" s="63">
        <f t="shared" ref="J32:J74" si="6">F32-I32</f>
        <v>0</v>
      </c>
      <c r="K32" s="13">
        <v>0</v>
      </c>
      <c r="L32" s="61">
        <f t="shared" si="0"/>
        <v>0</v>
      </c>
      <c r="M32" s="31">
        <f t="shared" si="1"/>
        <v>1275</v>
      </c>
      <c r="N32" s="31">
        <f t="shared" si="2"/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</row>
    <row r="33" spans="1:27" x14ac:dyDescent="0.25">
      <c r="A33">
        <v>32</v>
      </c>
      <c r="B33" s="30" t="s">
        <v>39</v>
      </c>
      <c r="C33" s="10" t="s">
        <v>40</v>
      </c>
      <c r="D33" s="25" t="s">
        <v>43</v>
      </c>
      <c r="E33" s="32" t="s">
        <v>44</v>
      </c>
      <c r="F33" s="33">
        <v>667.5</v>
      </c>
      <c r="G33" s="34">
        <v>5</v>
      </c>
      <c r="H33" s="34">
        <f t="shared" si="3"/>
        <v>60</v>
      </c>
      <c r="I33" s="63">
        <v>667.5</v>
      </c>
      <c r="J33" s="63">
        <f t="shared" si="6"/>
        <v>0</v>
      </c>
      <c r="K33" s="13">
        <v>0</v>
      </c>
      <c r="L33" s="61">
        <f t="shared" si="0"/>
        <v>0</v>
      </c>
      <c r="M33" s="31">
        <f t="shared" si="1"/>
        <v>667.5</v>
      </c>
      <c r="N33" s="31">
        <f t="shared" si="2"/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</row>
    <row r="34" spans="1:27" x14ac:dyDescent="0.25">
      <c r="A34">
        <v>33</v>
      </c>
      <c r="B34" s="30" t="s">
        <v>39</v>
      </c>
      <c r="C34" s="10" t="s">
        <v>40</v>
      </c>
      <c r="D34" s="25" t="s">
        <v>45</v>
      </c>
      <c r="E34" s="32" t="s">
        <v>46</v>
      </c>
      <c r="F34" s="33">
        <v>1700</v>
      </c>
      <c r="G34" s="34">
        <v>5</v>
      </c>
      <c r="H34" s="34">
        <f t="shared" si="3"/>
        <v>60</v>
      </c>
      <c r="I34" s="63">
        <v>1700</v>
      </c>
      <c r="J34" s="63">
        <f t="shared" si="6"/>
        <v>0</v>
      </c>
      <c r="K34" s="13">
        <v>0</v>
      </c>
      <c r="L34" s="61">
        <f t="shared" si="0"/>
        <v>0</v>
      </c>
      <c r="M34" s="31">
        <f t="shared" si="1"/>
        <v>1700</v>
      </c>
      <c r="N34" s="31">
        <f t="shared" si="2"/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</row>
    <row r="35" spans="1:27" x14ac:dyDescent="0.25">
      <c r="A35">
        <v>34</v>
      </c>
      <c r="B35" s="30" t="s">
        <v>39</v>
      </c>
      <c r="C35" s="10" t="s">
        <v>40</v>
      </c>
      <c r="D35" s="25" t="s">
        <v>47</v>
      </c>
      <c r="E35" s="32" t="s">
        <v>48</v>
      </c>
      <c r="F35" s="33">
        <v>1061.28</v>
      </c>
      <c r="G35" s="34">
        <v>5</v>
      </c>
      <c r="H35" s="34">
        <f t="shared" si="3"/>
        <v>60</v>
      </c>
      <c r="I35" s="63">
        <v>1061.28</v>
      </c>
      <c r="J35" s="63">
        <f t="shared" si="6"/>
        <v>0</v>
      </c>
      <c r="K35" s="13">
        <v>0</v>
      </c>
      <c r="L35" s="61">
        <f t="shared" si="0"/>
        <v>0</v>
      </c>
      <c r="M35" s="31">
        <f t="shared" si="1"/>
        <v>1061.28</v>
      </c>
      <c r="N35" s="31">
        <f t="shared" si="2"/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</row>
    <row r="36" spans="1:27" x14ac:dyDescent="0.25">
      <c r="A36">
        <v>35</v>
      </c>
      <c r="B36" s="30" t="s">
        <v>39</v>
      </c>
      <c r="C36" s="10" t="s">
        <v>40</v>
      </c>
      <c r="D36" s="25" t="s">
        <v>49</v>
      </c>
      <c r="E36" s="32" t="s">
        <v>50</v>
      </c>
      <c r="F36" s="33">
        <v>10000</v>
      </c>
      <c r="G36" s="35">
        <v>5</v>
      </c>
      <c r="H36" s="35">
        <f t="shared" si="3"/>
        <v>60</v>
      </c>
      <c r="I36" s="63">
        <v>10000</v>
      </c>
      <c r="J36" s="63">
        <f t="shared" si="6"/>
        <v>0</v>
      </c>
      <c r="K36" s="13">
        <v>0</v>
      </c>
      <c r="L36" s="61">
        <f t="shared" si="0"/>
        <v>0</v>
      </c>
      <c r="M36" s="31">
        <f t="shared" si="1"/>
        <v>10000</v>
      </c>
      <c r="N36" s="31">
        <f t="shared" si="2"/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0</v>
      </c>
      <c r="U36" s="100">
        <v>0</v>
      </c>
      <c r="V36" s="100">
        <v>0</v>
      </c>
      <c r="W36" s="100">
        <v>0</v>
      </c>
      <c r="X36" s="100">
        <v>0</v>
      </c>
      <c r="Y36" s="100">
        <v>0</v>
      </c>
      <c r="Z36" s="100">
        <v>0</v>
      </c>
      <c r="AA36" s="100">
        <v>0</v>
      </c>
    </row>
    <row r="37" spans="1:27" x14ac:dyDescent="0.25">
      <c r="A37">
        <v>36</v>
      </c>
      <c r="B37" s="30" t="s">
        <v>39</v>
      </c>
      <c r="C37" s="10" t="s">
        <v>40</v>
      </c>
      <c r="D37" s="25" t="s">
        <v>51</v>
      </c>
      <c r="E37" s="32" t="s">
        <v>52</v>
      </c>
      <c r="F37" s="33">
        <v>126156.71</v>
      </c>
      <c r="G37" s="35">
        <v>5</v>
      </c>
      <c r="H37" s="35">
        <f t="shared" si="3"/>
        <v>60</v>
      </c>
      <c r="I37" s="63">
        <v>126156.71</v>
      </c>
      <c r="J37" s="63">
        <f t="shared" si="6"/>
        <v>0</v>
      </c>
      <c r="K37" s="13">
        <v>0</v>
      </c>
      <c r="L37" s="61">
        <f t="shared" si="0"/>
        <v>0</v>
      </c>
      <c r="M37" s="31">
        <f t="shared" si="1"/>
        <v>126156.71</v>
      </c>
      <c r="N37" s="31">
        <f t="shared" si="2"/>
        <v>0</v>
      </c>
      <c r="P37" s="100">
        <v>0</v>
      </c>
      <c r="Q37" s="100">
        <v>0</v>
      </c>
      <c r="R37" s="100">
        <v>0</v>
      </c>
      <c r="S37" s="100">
        <v>0</v>
      </c>
      <c r="T37" s="100">
        <v>0</v>
      </c>
      <c r="U37" s="100">
        <v>0</v>
      </c>
      <c r="V37" s="100">
        <v>0</v>
      </c>
      <c r="W37" s="100">
        <v>0</v>
      </c>
      <c r="X37" s="100">
        <v>0</v>
      </c>
      <c r="Y37" s="100">
        <v>0</v>
      </c>
      <c r="Z37" s="100">
        <v>0</v>
      </c>
      <c r="AA37" s="100">
        <v>0</v>
      </c>
    </row>
    <row r="38" spans="1:27" x14ac:dyDescent="0.25">
      <c r="A38">
        <v>37</v>
      </c>
      <c r="B38" s="30" t="s">
        <v>39</v>
      </c>
      <c r="C38" s="10" t="s">
        <v>40</v>
      </c>
      <c r="D38" s="25" t="s">
        <v>51</v>
      </c>
      <c r="E38" s="32" t="s">
        <v>53</v>
      </c>
      <c r="F38" s="33">
        <v>28042.75</v>
      </c>
      <c r="G38" s="35">
        <v>5</v>
      </c>
      <c r="H38" s="35">
        <f t="shared" si="3"/>
        <v>60</v>
      </c>
      <c r="I38" s="63">
        <v>28042.75</v>
      </c>
      <c r="J38" s="63">
        <f t="shared" si="6"/>
        <v>0</v>
      </c>
      <c r="K38" s="13">
        <v>0</v>
      </c>
      <c r="L38" s="61">
        <f t="shared" si="0"/>
        <v>0</v>
      </c>
      <c r="M38" s="31">
        <f t="shared" si="1"/>
        <v>28042.75</v>
      </c>
      <c r="N38" s="31">
        <f t="shared" si="2"/>
        <v>0</v>
      </c>
      <c r="P38" s="100">
        <v>0</v>
      </c>
      <c r="Q38" s="100">
        <v>0</v>
      </c>
      <c r="R38" s="100">
        <v>0</v>
      </c>
      <c r="S38" s="100">
        <v>0</v>
      </c>
      <c r="T38" s="100">
        <v>0</v>
      </c>
      <c r="U38" s="100">
        <v>0</v>
      </c>
      <c r="V38" s="100">
        <v>0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</row>
    <row r="39" spans="1:27" x14ac:dyDescent="0.25">
      <c r="A39">
        <v>38</v>
      </c>
      <c r="B39" s="30" t="s">
        <v>39</v>
      </c>
      <c r="C39" s="10" t="s">
        <v>40</v>
      </c>
      <c r="D39" s="36" t="s">
        <v>54</v>
      </c>
      <c r="E39" s="37">
        <v>41152</v>
      </c>
      <c r="F39" s="24">
        <v>19632.25</v>
      </c>
      <c r="G39" s="22">
        <v>5</v>
      </c>
      <c r="H39" s="22">
        <f t="shared" si="3"/>
        <v>60</v>
      </c>
      <c r="I39" s="63">
        <v>19632.25</v>
      </c>
      <c r="J39" s="63">
        <f t="shared" si="6"/>
        <v>0</v>
      </c>
      <c r="K39" s="13">
        <v>0</v>
      </c>
      <c r="L39" s="61">
        <f t="shared" si="0"/>
        <v>0</v>
      </c>
      <c r="M39" s="31">
        <f t="shared" si="1"/>
        <v>19632.25</v>
      </c>
      <c r="N39" s="31">
        <f t="shared" si="2"/>
        <v>0</v>
      </c>
      <c r="P39" s="100">
        <v>0</v>
      </c>
      <c r="Q39" s="100">
        <v>0</v>
      </c>
      <c r="R39" s="100">
        <v>0</v>
      </c>
      <c r="S39" s="100">
        <v>0</v>
      </c>
      <c r="T39" s="100">
        <v>0</v>
      </c>
      <c r="U39" s="100">
        <v>0</v>
      </c>
      <c r="V39" s="100">
        <v>0</v>
      </c>
      <c r="W39" s="100">
        <v>0</v>
      </c>
      <c r="X39" s="100">
        <v>0</v>
      </c>
      <c r="Y39" s="100">
        <v>0</v>
      </c>
      <c r="Z39" s="100">
        <v>0</v>
      </c>
      <c r="AA39" s="100">
        <v>0</v>
      </c>
    </row>
    <row r="40" spans="1:27" x14ac:dyDescent="0.25">
      <c r="A40">
        <v>39</v>
      </c>
      <c r="B40" s="30" t="s">
        <v>39</v>
      </c>
      <c r="C40" s="10" t="s">
        <v>40</v>
      </c>
      <c r="D40" s="38" t="s">
        <v>55</v>
      </c>
      <c r="E40" s="37">
        <v>41465</v>
      </c>
      <c r="F40" s="24">
        <v>4920.99</v>
      </c>
      <c r="G40" s="34">
        <v>5</v>
      </c>
      <c r="H40" s="34">
        <f t="shared" si="3"/>
        <v>60</v>
      </c>
      <c r="I40" s="63">
        <v>4920.99</v>
      </c>
      <c r="J40" s="63">
        <f t="shared" si="6"/>
        <v>0</v>
      </c>
      <c r="K40" s="13">
        <v>0</v>
      </c>
      <c r="L40" s="61">
        <f t="shared" si="0"/>
        <v>0</v>
      </c>
      <c r="M40" s="31">
        <f t="shared" si="1"/>
        <v>4920.99</v>
      </c>
      <c r="N40" s="31">
        <f t="shared" si="2"/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0</v>
      </c>
      <c r="U40" s="100">
        <v>0</v>
      </c>
      <c r="V40" s="100">
        <v>0</v>
      </c>
      <c r="W40" s="100">
        <v>0</v>
      </c>
      <c r="X40" s="100">
        <v>0</v>
      </c>
      <c r="Y40" s="100">
        <v>0</v>
      </c>
      <c r="Z40" s="100">
        <v>0</v>
      </c>
      <c r="AA40" s="100">
        <v>0</v>
      </c>
    </row>
    <row r="41" spans="1:27" x14ac:dyDescent="0.25">
      <c r="A41">
        <v>40</v>
      </c>
      <c r="B41" s="30" t="s">
        <v>39</v>
      </c>
      <c r="C41" s="10" t="s">
        <v>40</v>
      </c>
      <c r="D41" s="39" t="s">
        <v>56</v>
      </c>
      <c r="E41" s="28">
        <v>41537</v>
      </c>
      <c r="F41" s="40">
        <v>12500</v>
      </c>
      <c r="G41" s="41">
        <v>5</v>
      </c>
      <c r="H41" s="41">
        <f t="shared" si="3"/>
        <v>60</v>
      </c>
      <c r="I41" s="63">
        <v>12500</v>
      </c>
      <c r="J41" s="63">
        <f t="shared" si="6"/>
        <v>0</v>
      </c>
      <c r="K41" s="13">
        <v>0</v>
      </c>
      <c r="L41" s="61">
        <f t="shared" si="0"/>
        <v>0</v>
      </c>
      <c r="M41" s="31">
        <f t="shared" si="1"/>
        <v>12500</v>
      </c>
      <c r="N41" s="31">
        <f t="shared" si="2"/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</row>
    <row r="42" spans="1:27" x14ac:dyDescent="0.25">
      <c r="A42">
        <v>41</v>
      </c>
      <c r="B42" s="30" t="s">
        <v>39</v>
      </c>
      <c r="C42" s="10" t="s">
        <v>40</v>
      </c>
      <c r="D42" s="39" t="s">
        <v>198</v>
      </c>
      <c r="E42" s="28">
        <v>41620</v>
      </c>
      <c r="F42" s="40">
        <v>3103.68</v>
      </c>
      <c r="G42" s="41">
        <v>5</v>
      </c>
      <c r="H42" s="41">
        <f t="shared" si="3"/>
        <v>60</v>
      </c>
      <c r="I42" s="63">
        <v>3103.68</v>
      </c>
      <c r="J42" s="63">
        <f t="shared" si="6"/>
        <v>0</v>
      </c>
      <c r="K42" s="13">
        <v>0</v>
      </c>
      <c r="L42" s="61">
        <f t="shared" si="0"/>
        <v>0</v>
      </c>
      <c r="M42" s="31">
        <f t="shared" si="1"/>
        <v>3103.68</v>
      </c>
      <c r="N42" s="31">
        <f t="shared" si="2"/>
        <v>0</v>
      </c>
      <c r="P42" s="100">
        <v>0</v>
      </c>
      <c r="Q42" s="100">
        <v>0</v>
      </c>
      <c r="R42" s="100">
        <v>0</v>
      </c>
      <c r="S42" s="100">
        <v>0</v>
      </c>
      <c r="T42" s="100">
        <v>0</v>
      </c>
      <c r="U42" s="100">
        <v>0</v>
      </c>
      <c r="V42" s="100">
        <v>0</v>
      </c>
      <c r="W42" s="100">
        <v>0</v>
      </c>
      <c r="X42" s="100">
        <v>0</v>
      </c>
      <c r="Y42" s="100">
        <v>0</v>
      </c>
      <c r="Z42" s="100">
        <v>0</v>
      </c>
      <c r="AA42" s="100">
        <v>0</v>
      </c>
    </row>
    <row r="43" spans="1:27" x14ac:dyDescent="0.25">
      <c r="A43">
        <v>42</v>
      </c>
      <c r="B43" s="30" t="s">
        <v>39</v>
      </c>
      <c r="C43" s="10" t="s">
        <v>40</v>
      </c>
      <c r="D43" s="39" t="s">
        <v>201</v>
      </c>
      <c r="E43" s="28">
        <v>41609</v>
      </c>
      <c r="F43" s="40">
        <v>16507.39</v>
      </c>
      <c r="G43" s="41">
        <v>5</v>
      </c>
      <c r="H43" s="41">
        <f t="shared" si="3"/>
        <v>60</v>
      </c>
      <c r="I43" s="63">
        <v>16507.39</v>
      </c>
      <c r="J43" s="63">
        <f t="shared" si="6"/>
        <v>0</v>
      </c>
      <c r="K43" s="13">
        <v>0</v>
      </c>
      <c r="L43" s="61">
        <f t="shared" si="0"/>
        <v>0</v>
      </c>
      <c r="M43" s="31">
        <f t="shared" si="1"/>
        <v>16507.39</v>
      </c>
      <c r="N43" s="31">
        <f t="shared" si="2"/>
        <v>0</v>
      </c>
      <c r="P43" s="100">
        <v>0</v>
      </c>
      <c r="Q43" s="100">
        <v>0</v>
      </c>
      <c r="R43" s="100">
        <v>0</v>
      </c>
      <c r="S43" s="100">
        <v>0</v>
      </c>
      <c r="T43" s="100">
        <v>0</v>
      </c>
      <c r="U43" s="100">
        <v>0</v>
      </c>
      <c r="V43" s="100">
        <v>0</v>
      </c>
      <c r="W43" s="100">
        <v>0</v>
      </c>
      <c r="X43" s="100">
        <v>0</v>
      </c>
      <c r="Y43" s="100">
        <v>0</v>
      </c>
      <c r="Z43" s="100">
        <v>0</v>
      </c>
      <c r="AA43" s="100">
        <v>0</v>
      </c>
    </row>
    <row r="44" spans="1:27" x14ac:dyDescent="0.25">
      <c r="A44">
        <v>43</v>
      </c>
      <c r="B44" s="30" t="s">
        <v>39</v>
      </c>
      <c r="C44" s="10" t="s">
        <v>40</v>
      </c>
      <c r="D44" s="11" t="s">
        <v>57</v>
      </c>
      <c r="E44" s="37">
        <v>41974</v>
      </c>
      <c r="F44" s="24">
        <v>21000</v>
      </c>
      <c r="G44" s="34">
        <v>5</v>
      </c>
      <c r="H44" s="34">
        <f t="shared" si="3"/>
        <v>60</v>
      </c>
      <c r="I44" s="63">
        <v>21000</v>
      </c>
      <c r="J44" s="63">
        <f t="shared" si="6"/>
        <v>0</v>
      </c>
      <c r="K44" s="13">
        <v>0</v>
      </c>
      <c r="L44" s="61">
        <f t="shared" si="0"/>
        <v>0</v>
      </c>
      <c r="M44" s="31">
        <f t="shared" si="1"/>
        <v>21000</v>
      </c>
      <c r="N44" s="31">
        <f t="shared" si="2"/>
        <v>0</v>
      </c>
      <c r="P44" s="100">
        <v>0</v>
      </c>
      <c r="Q44" s="100">
        <v>0</v>
      </c>
      <c r="R44" s="100">
        <v>0</v>
      </c>
      <c r="S44" s="100">
        <v>0</v>
      </c>
      <c r="T44" s="100">
        <v>0</v>
      </c>
      <c r="U44" s="100">
        <v>0</v>
      </c>
      <c r="V44" s="100">
        <v>0</v>
      </c>
      <c r="W44" s="100">
        <v>0</v>
      </c>
      <c r="X44" s="100">
        <v>0</v>
      </c>
      <c r="Y44" s="100">
        <v>0</v>
      </c>
      <c r="Z44" s="100">
        <v>0</v>
      </c>
      <c r="AA44" s="100">
        <v>0</v>
      </c>
    </row>
    <row r="45" spans="1:27" x14ac:dyDescent="0.25">
      <c r="A45">
        <v>44</v>
      </c>
      <c r="B45" s="30" t="s">
        <v>39</v>
      </c>
      <c r="C45" s="10" t="s">
        <v>40</v>
      </c>
      <c r="D45" s="11" t="s">
        <v>58</v>
      </c>
      <c r="E45" s="37">
        <v>41991</v>
      </c>
      <c r="F45" s="24">
        <v>39101.25</v>
      </c>
      <c r="G45" s="34">
        <v>5</v>
      </c>
      <c r="H45" s="34">
        <f t="shared" si="3"/>
        <v>60</v>
      </c>
      <c r="I45" s="63">
        <v>39101.25</v>
      </c>
      <c r="J45" s="63">
        <f t="shared" si="6"/>
        <v>0</v>
      </c>
      <c r="K45" s="13">
        <v>0</v>
      </c>
      <c r="L45" s="61">
        <f t="shared" si="0"/>
        <v>0</v>
      </c>
      <c r="M45" s="31">
        <f t="shared" si="1"/>
        <v>39101.25</v>
      </c>
      <c r="N45" s="31">
        <f t="shared" si="2"/>
        <v>0</v>
      </c>
      <c r="P45" s="100">
        <v>0</v>
      </c>
      <c r="Q45" s="100">
        <v>0</v>
      </c>
      <c r="R45" s="100">
        <v>0</v>
      </c>
      <c r="S45" s="100">
        <v>0</v>
      </c>
      <c r="T45" s="100">
        <v>0</v>
      </c>
      <c r="U45" s="100">
        <v>0</v>
      </c>
      <c r="V45" s="100">
        <v>0</v>
      </c>
      <c r="W45" s="100">
        <v>0</v>
      </c>
      <c r="X45" s="100">
        <v>0</v>
      </c>
      <c r="Y45" s="100">
        <v>0</v>
      </c>
      <c r="Z45" s="100">
        <v>0</v>
      </c>
      <c r="AA45" s="100">
        <v>0</v>
      </c>
    </row>
    <row r="46" spans="1:27" x14ac:dyDescent="0.25">
      <c r="A46">
        <v>45</v>
      </c>
      <c r="B46" s="30" t="s">
        <v>39</v>
      </c>
      <c r="C46" s="10" t="s">
        <v>40</v>
      </c>
      <c r="D46" s="42" t="s">
        <v>59</v>
      </c>
      <c r="E46" s="43">
        <v>41990</v>
      </c>
      <c r="F46" s="44">
        <v>9980</v>
      </c>
      <c r="G46" s="19">
        <v>5</v>
      </c>
      <c r="H46" s="19">
        <f t="shared" si="3"/>
        <v>60</v>
      </c>
      <c r="I46" s="63">
        <v>9980</v>
      </c>
      <c r="J46" s="63">
        <f t="shared" si="6"/>
        <v>0</v>
      </c>
      <c r="K46" s="13">
        <v>0</v>
      </c>
      <c r="L46" s="61">
        <f t="shared" si="0"/>
        <v>0</v>
      </c>
      <c r="M46" s="31">
        <f t="shared" si="1"/>
        <v>9980</v>
      </c>
      <c r="N46" s="31">
        <f t="shared" si="2"/>
        <v>0</v>
      </c>
      <c r="P46" s="100">
        <v>0</v>
      </c>
      <c r="Q46" s="100">
        <v>0</v>
      </c>
      <c r="R46" s="100">
        <v>0</v>
      </c>
      <c r="S46" s="100">
        <v>0</v>
      </c>
      <c r="T46" s="100">
        <v>0</v>
      </c>
      <c r="U46" s="100">
        <v>0</v>
      </c>
      <c r="V46" s="100">
        <v>0</v>
      </c>
      <c r="W46" s="100">
        <v>0</v>
      </c>
      <c r="X46" s="100">
        <v>0</v>
      </c>
      <c r="Y46" s="100">
        <v>0</v>
      </c>
      <c r="Z46" s="100">
        <v>0</v>
      </c>
      <c r="AA46" s="100">
        <v>0</v>
      </c>
    </row>
    <row r="47" spans="1:27" x14ac:dyDescent="0.25">
      <c r="A47">
        <v>46</v>
      </c>
      <c r="B47" s="30" t="s">
        <v>39</v>
      </c>
      <c r="C47" s="10" t="s">
        <v>40</v>
      </c>
      <c r="D47" s="39" t="s">
        <v>60</v>
      </c>
      <c r="E47" s="28">
        <v>41974</v>
      </c>
      <c r="F47" s="40">
        <v>18000</v>
      </c>
      <c r="G47" s="19">
        <v>5</v>
      </c>
      <c r="H47" s="19">
        <f t="shared" si="3"/>
        <v>60</v>
      </c>
      <c r="I47" s="63">
        <v>18000</v>
      </c>
      <c r="J47" s="63">
        <f t="shared" si="6"/>
        <v>0</v>
      </c>
      <c r="K47" s="13">
        <v>0</v>
      </c>
      <c r="L47" s="61">
        <f t="shared" si="0"/>
        <v>0</v>
      </c>
      <c r="M47" s="31">
        <f t="shared" si="1"/>
        <v>18000</v>
      </c>
      <c r="N47" s="31">
        <f t="shared" si="2"/>
        <v>0</v>
      </c>
      <c r="P47" s="100">
        <v>0</v>
      </c>
      <c r="Q47" s="100">
        <v>0</v>
      </c>
      <c r="R47" s="100">
        <v>0</v>
      </c>
      <c r="S47" s="100">
        <v>0</v>
      </c>
      <c r="T47" s="100">
        <v>0</v>
      </c>
      <c r="U47" s="100">
        <v>0</v>
      </c>
      <c r="V47" s="100">
        <v>0</v>
      </c>
      <c r="W47" s="100">
        <v>0</v>
      </c>
      <c r="X47" s="100">
        <v>0</v>
      </c>
      <c r="Y47" s="100">
        <v>0</v>
      </c>
      <c r="Z47" s="100">
        <v>0</v>
      </c>
      <c r="AA47" s="100">
        <v>0</v>
      </c>
    </row>
    <row r="48" spans="1:27" x14ac:dyDescent="0.25">
      <c r="A48">
        <v>47</v>
      </c>
      <c r="B48" s="30" t="s">
        <v>39</v>
      </c>
      <c r="C48" s="10" t="s">
        <v>40</v>
      </c>
      <c r="D48" s="16" t="s">
        <v>202</v>
      </c>
      <c r="E48" s="45">
        <v>42095</v>
      </c>
      <c r="F48" s="29">
        <v>1013.32</v>
      </c>
      <c r="G48" s="46">
        <v>5</v>
      </c>
      <c r="H48" s="46">
        <f t="shared" si="3"/>
        <v>60</v>
      </c>
      <c r="I48" s="63">
        <v>1013.32</v>
      </c>
      <c r="J48" s="63">
        <f t="shared" si="6"/>
        <v>0</v>
      </c>
      <c r="K48" s="13">
        <v>0</v>
      </c>
      <c r="L48" s="61">
        <f t="shared" si="0"/>
        <v>0</v>
      </c>
      <c r="M48" s="31">
        <f t="shared" si="1"/>
        <v>1013.32</v>
      </c>
      <c r="N48" s="31">
        <f>ROUND(F48-M48,2)</f>
        <v>0</v>
      </c>
      <c r="P48" s="100">
        <v>0</v>
      </c>
      <c r="Q48" s="100">
        <v>0</v>
      </c>
      <c r="R48" s="100">
        <v>0</v>
      </c>
      <c r="S48" s="100">
        <v>0</v>
      </c>
      <c r="T48" s="100">
        <v>0</v>
      </c>
      <c r="U48" s="100">
        <v>0</v>
      </c>
      <c r="V48" s="100">
        <v>0</v>
      </c>
      <c r="W48" s="100">
        <v>0</v>
      </c>
      <c r="X48" s="100">
        <v>0</v>
      </c>
      <c r="Y48" s="100">
        <v>0</v>
      </c>
      <c r="Z48" s="100">
        <v>0</v>
      </c>
      <c r="AA48" s="100">
        <v>0</v>
      </c>
    </row>
    <row r="49" spans="1:27" x14ac:dyDescent="0.25">
      <c r="A49">
        <v>48</v>
      </c>
      <c r="B49" s="30" t="s">
        <v>39</v>
      </c>
      <c r="C49" s="10" t="s">
        <v>40</v>
      </c>
      <c r="D49" s="36" t="s">
        <v>61</v>
      </c>
      <c r="E49" s="37">
        <v>42583</v>
      </c>
      <c r="F49" s="33">
        <v>39517.089999999997</v>
      </c>
      <c r="G49" s="35">
        <v>5</v>
      </c>
      <c r="H49" s="35">
        <f t="shared" si="3"/>
        <v>60</v>
      </c>
      <c r="I49" s="63">
        <v>39517.090000000004</v>
      </c>
      <c r="J49" s="63">
        <f>ROUND(F49-I49,2)</f>
        <v>0</v>
      </c>
      <c r="K49" s="13">
        <v>0</v>
      </c>
      <c r="L49" s="60">
        <f t="shared" si="0"/>
        <v>0</v>
      </c>
      <c r="M49" s="31">
        <f t="shared" si="1"/>
        <v>39517.090000000004</v>
      </c>
      <c r="N49" s="31">
        <f>F49-M49</f>
        <v>0</v>
      </c>
      <c r="P49" s="100">
        <v>0</v>
      </c>
      <c r="Q49" s="100">
        <v>0</v>
      </c>
      <c r="R49" s="100">
        <v>0</v>
      </c>
      <c r="S49" s="100">
        <v>0</v>
      </c>
      <c r="T49" s="100">
        <v>0</v>
      </c>
      <c r="U49" s="100">
        <v>0</v>
      </c>
      <c r="V49" s="100">
        <v>0</v>
      </c>
      <c r="W49" s="100">
        <v>0</v>
      </c>
      <c r="X49" s="100">
        <v>0</v>
      </c>
      <c r="Y49" s="100">
        <v>0</v>
      </c>
      <c r="Z49" s="100">
        <v>0</v>
      </c>
      <c r="AA49" s="100">
        <v>0</v>
      </c>
    </row>
    <row r="50" spans="1:27" x14ac:dyDescent="0.25">
      <c r="A50">
        <v>49</v>
      </c>
      <c r="B50" s="30" t="s">
        <v>39</v>
      </c>
      <c r="C50" s="10" t="s">
        <v>40</v>
      </c>
      <c r="D50" s="25" t="s">
        <v>203</v>
      </c>
      <c r="E50" s="32">
        <v>42347</v>
      </c>
      <c r="F50" s="33">
        <v>1232.03</v>
      </c>
      <c r="G50" s="35">
        <v>5</v>
      </c>
      <c r="H50" s="35">
        <f t="shared" si="3"/>
        <v>60</v>
      </c>
      <c r="I50" s="63">
        <v>1232.03</v>
      </c>
      <c r="J50" s="63">
        <f t="shared" si="6"/>
        <v>0</v>
      </c>
      <c r="K50" s="13">
        <v>0</v>
      </c>
      <c r="L50" s="61">
        <f t="shared" si="0"/>
        <v>0</v>
      </c>
      <c r="M50" s="31">
        <f t="shared" si="1"/>
        <v>1232.03</v>
      </c>
      <c r="N50" s="31">
        <f>ROUND(F50-M50,2)</f>
        <v>0</v>
      </c>
      <c r="P50" s="100">
        <v>0</v>
      </c>
      <c r="Q50" s="100">
        <v>0</v>
      </c>
      <c r="R50" s="100">
        <v>0</v>
      </c>
      <c r="S50" s="100">
        <v>0</v>
      </c>
      <c r="T50" s="100">
        <v>0</v>
      </c>
      <c r="U50" s="100">
        <v>0</v>
      </c>
      <c r="V50" s="100">
        <v>0</v>
      </c>
      <c r="W50" s="100">
        <v>0</v>
      </c>
      <c r="X50" s="100">
        <v>0</v>
      </c>
      <c r="Y50" s="100">
        <v>0</v>
      </c>
      <c r="Z50" s="100">
        <v>0</v>
      </c>
      <c r="AA50" s="100">
        <v>0</v>
      </c>
    </row>
    <row r="51" spans="1:27" x14ac:dyDescent="0.25">
      <c r="A51">
        <v>50</v>
      </c>
      <c r="B51" s="30" t="s">
        <v>39</v>
      </c>
      <c r="C51" s="10" t="s">
        <v>40</v>
      </c>
      <c r="D51" s="47" t="s">
        <v>204</v>
      </c>
      <c r="E51" s="48">
        <v>42454</v>
      </c>
      <c r="F51" s="29">
        <v>3113.61</v>
      </c>
      <c r="G51" s="49">
        <v>5</v>
      </c>
      <c r="H51" s="49">
        <f t="shared" si="3"/>
        <v>60</v>
      </c>
      <c r="I51" s="63">
        <v>3113.6100000000006</v>
      </c>
      <c r="J51" s="63">
        <f t="shared" si="6"/>
        <v>0</v>
      </c>
      <c r="K51" s="13">
        <v>0</v>
      </c>
      <c r="L51" s="61">
        <f t="shared" si="0"/>
        <v>0</v>
      </c>
      <c r="M51" s="31">
        <f t="shared" si="1"/>
        <v>3113.6100000000006</v>
      </c>
      <c r="N51" s="31">
        <f t="shared" si="2"/>
        <v>0</v>
      </c>
      <c r="P51" s="100">
        <v>0</v>
      </c>
      <c r="Q51" s="100">
        <v>0</v>
      </c>
      <c r="R51" s="100">
        <v>0</v>
      </c>
      <c r="S51" s="100">
        <v>0</v>
      </c>
      <c r="T51" s="100">
        <v>0</v>
      </c>
      <c r="U51" s="100">
        <v>0</v>
      </c>
      <c r="V51" s="100">
        <v>0</v>
      </c>
      <c r="W51" s="100">
        <v>0</v>
      </c>
      <c r="X51" s="100">
        <v>0</v>
      </c>
      <c r="Y51" s="100">
        <v>0</v>
      </c>
      <c r="Z51" s="100">
        <v>0</v>
      </c>
      <c r="AA51" s="100">
        <v>0</v>
      </c>
    </row>
    <row r="52" spans="1:27" x14ac:dyDescent="0.25">
      <c r="A52">
        <v>51</v>
      </c>
      <c r="B52" s="30" t="s">
        <v>39</v>
      </c>
      <c r="C52" s="10" t="s">
        <v>40</v>
      </c>
      <c r="D52" s="47" t="s">
        <v>205</v>
      </c>
      <c r="E52" s="48">
        <v>42459</v>
      </c>
      <c r="F52" s="29">
        <v>2882.13</v>
      </c>
      <c r="G52" s="49">
        <v>5</v>
      </c>
      <c r="H52" s="49">
        <f t="shared" si="3"/>
        <v>60</v>
      </c>
      <c r="I52" s="63">
        <v>2882.13</v>
      </c>
      <c r="J52" s="63">
        <f t="shared" si="6"/>
        <v>0</v>
      </c>
      <c r="K52" s="13">
        <v>0</v>
      </c>
      <c r="L52" s="61">
        <f t="shared" si="0"/>
        <v>0</v>
      </c>
      <c r="M52" s="31">
        <f t="shared" si="1"/>
        <v>2882.13</v>
      </c>
      <c r="N52" s="31">
        <f t="shared" si="2"/>
        <v>0</v>
      </c>
      <c r="P52" s="100">
        <v>0</v>
      </c>
      <c r="Q52" s="100">
        <v>0</v>
      </c>
      <c r="R52" s="100">
        <v>0</v>
      </c>
      <c r="S52" s="100">
        <v>0</v>
      </c>
      <c r="T52" s="100">
        <v>0</v>
      </c>
      <c r="U52" s="100">
        <v>0</v>
      </c>
      <c r="V52" s="100">
        <v>0</v>
      </c>
      <c r="W52" s="100">
        <v>0</v>
      </c>
      <c r="X52" s="100">
        <v>0</v>
      </c>
      <c r="Y52" s="100">
        <v>0</v>
      </c>
      <c r="Z52" s="100">
        <v>0</v>
      </c>
      <c r="AA52" s="100">
        <v>0</v>
      </c>
    </row>
    <row r="53" spans="1:27" x14ac:dyDescent="0.25">
      <c r="A53">
        <v>52</v>
      </c>
      <c r="B53" s="30" t="s">
        <v>39</v>
      </c>
      <c r="C53" s="10" t="s">
        <v>40</v>
      </c>
      <c r="D53" s="36" t="s">
        <v>62</v>
      </c>
      <c r="E53" s="50">
        <v>42551</v>
      </c>
      <c r="F53" s="33">
        <v>1449.99</v>
      </c>
      <c r="G53" s="51">
        <v>5</v>
      </c>
      <c r="H53" s="51">
        <f t="shared" si="3"/>
        <v>60</v>
      </c>
      <c r="I53" s="63">
        <v>1449.99</v>
      </c>
      <c r="J53" s="63">
        <f t="shared" si="6"/>
        <v>0</v>
      </c>
      <c r="K53" s="13">
        <v>0</v>
      </c>
      <c r="L53" s="61">
        <f t="shared" si="0"/>
        <v>0</v>
      </c>
      <c r="M53" s="31">
        <f t="shared" si="1"/>
        <v>1449.99</v>
      </c>
      <c r="N53" s="31">
        <f t="shared" si="2"/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</row>
    <row r="54" spans="1:27" x14ac:dyDescent="0.25">
      <c r="A54">
        <v>53</v>
      </c>
      <c r="B54" s="30" t="s">
        <v>39</v>
      </c>
      <c r="C54" s="10" t="s">
        <v>40</v>
      </c>
      <c r="D54" s="36" t="s">
        <v>63</v>
      </c>
      <c r="E54" s="50">
        <v>42583</v>
      </c>
      <c r="F54" s="33">
        <v>407745.75</v>
      </c>
      <c r="G54" s="35">
        <v>5</v>
      </c>
      <c r="H54" s="35">
        <f t="shared" si="3"/>
        <v>60</v>
      </c>
      <c r="I54" s="63">
        <v>407745.74999999994</v>
      </c>
      <c r="J54" s="63">
        <f t="shared" si="6"/>
        <v>0</v>
      </c>
      <c r="K54" s="13">
        <v>0</v>
      </c>
      <c r="L54" s="60">
        <f t="shared" si="0"/>
        <v>0</v>
      </c>
      <c r="M54" s="31">
        <f t="shared" si="1"/>
        <v>407745.74999999994</v>
      </c>
      <c r="N54" s="31">
        <f>ROUND(F54-M54,2)</f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</row>
    <row r="55" spans="1:27" x14ac:dyDescent="0.25">
      <c r="A55">
        <v>54</v>
      </c>
      <c r="B55" s="30" t="s">
        <v>39</v>
      </c>
      <c r="C55" s="10" t="s">
        <v>40</v>
      </c>
      <c r="D55" s="52" t="s">
        <v>64</v>
      </c>
      <c r="E55" s="50">
        <v>42583</v>
      </c>
      <c r="F55" s="33">
        <v>84870</v>
      </c>
      <c r="G55" s="35">
        <v>5</v>
      </c>
      <c r="H55" s="35">
        <f t="shared" si="3"/>
        <v>60</v>
      </c>
      <c r="I55" s="63">
        <v>84870</v>
      </c>
      <c r="J55" s="63">
        <f t="shared" si="6"/>
        <v>0</v>
      </c>
      <c r="K55" s="13">
        <v>0</v>
      </c>
      <c r="L55" s="60">
        <f t="shared" ref="L55:L73" si="7">SUM(P55:AA55)</f>
        <v>0</v>
      </c>
      <c r="M55" s="31">
        <f t="shared" si="1"/>
        <v>84870</v>
      </c>
      <c r="N55" s="31">
        <f t="shared" ref="N55:N56" si="8">ROUND(F55-M55,2)</f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</row>
    <row r="56" spans="1:27" x14ac:dyDescent="0.25">
      <c r="A56">
        <v>55</v>
      </c>
      <c r="B56" s="30" t="s">
        <v>39</v>
      </c>
      <c r="C56" s="10" t="s">
        <v>40</v>
      </c>
      <c r="D56" s="11" t="s">
        <v>65</v>
      </c>
      <c r="E56" s="50">
        <v>42583</v>
      </c>
      <c r="F56" s="40">
        <v>8332.5</v>
      </c>
      <c r="G56" s="46">
        <v>5</v>
      </c>
      <c r="H56" s="46">
        <f t="shared" si="3"/>
        <v>60</v>
      </c>
      <c r="I56" s="63">
        <v>8332.5</v>
      </c>
      <c r="J56" s="63">
        <f t="shared" si="6"/>
        <v>0</v>
      </c>
      <c r="K56" s="13">
        <v>0</v>
      </c>
      <c r="L56" s="60">
        <f t="shared" si="7"/>
        <v>0</v>
      </c>
      <c r="M56" s="31">
        <f t="shared" si="1"/>
        <v>8332.5</v>
      </c>
      <c r="N56" s="31">
        <f t="shared" si="8"/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</row>
    <row r="57" spans="1:27" x14ac:dyDescent="0.25">
      <c r="A57">
        <v>56</v>
      </c>
      <c r="B57" s="30" t="s">
        <v>39</v>
      </c>
      <c r="C57" s="10" t="s">
        <v>40</v>
      </c>
      <c r="D57" s="36" t="s">
        <v>206</v>
      </c>
      <c r="E57" s="50">
        <v>42644</v>
      </c>
      <c r="F57" s="33">
        <v>2686.43</v>
      </c>
      <c r="G57" s="35">
        <v>5</v>
      </c>
      <c r="H57" s="35">
        <f t="shared" si="3"/>
        <v>60</v>
      </c>
      <c r="I57" s="63">
        <v>2686.4299999999994</v>
      </c>
      <c r="J57" s="63">
        <f t="shared" si="6"/>
        <v>0</v>
      </c>
      <c r="K57" s="13">
        <v>0</v>
      </c>
      <c r="L57" s="60">
        <v>0</v>
      </c>
      <c r="M57" s="31">
        <f t="shared" si="1"/>
        <v>2686.4299999999994</v>
      </c>
      <c r="N57" s="31">
        <f>F57-M57</f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0</v>
      </c>
      <c r="U57" s="100">
        <v>0</v>
      </c>
      <c r="V57" s="100">
        <v>0</v>
      </c>
      <c r="W57" s="100">
        <v>0</v>
      </c>
      <c r="X57" s="100">
        <v>0</v>
      </c>
      <c r="Y57" s="100">
        <v>0</v>
      </c>
      <c r="Z57" s="100">
        <v>0</v>
      </c>
      <c r="AA57" s="100">
        <v>0</v>
      </c>
    </row>
    <row r="58" spans="1:27" x14ac:dyDescent="0.25">
      <c r="A58">
        <v>57</v>
      </c>
      <c r="B58" s="30" t="s">
        <v>39</v>
      </c>
      <c r="C58" s="10" t="s">
        <v>40</v>
      </c>
      <c r="D58" s="47" t="s">
        <v>66</v>
      </c>
      <c r="E58" s="26">
        <v>42917</v>
      </c>
      <c r="F58" s="29">
        <v>1232.3</v>
      </c>
      <c r="G58" s="46">
        <v>2</v>
      </c>
      <c r="H58" s="46">
        <f t="shared" si="3"/>
        <v>24</v>
      </c>
      <c r="I58" s="63">
        <v>1232.3</v>
      </c>
      <c r="J58" s="63">
        <f t="shared" si="6"/>
        <v>0</v>
      </c>
      <c r="K58" s="13">
        <v>0</v>
      </c>
      <c r="L58" s="61">
        <f t="shared" si="7"/>
        <v>0</v>
      </c>
      <c r="M58" s="31">
        <f t="shared" si="1"/>
        <v>1232.3</v>
      </c>
      <c r="N58" s="31">
        <f t="shared" ref="N58:N77" si="9">F58-M58</f>
        <v>0</v>
      </c>
      <c r="P58" s="100">
        <v>0</v>
      </c>
      <c r="Q58" s="100">
        <v>0</v>
      </c>
      <c r="R58" s="100">
        <v>0</v>
      </c>
      <c r="S58" s="100">
        <v>0</v>
      </c>
      <c r="T58" s="100">
        <v>0</v>
      </c>
      <c r="U58" s="100">
        <v>0</v>
      </c>
      <c r="V58" s="100">
        <v>0</v>
      </c>
      <c r="W58" s="100">
        <v>0</v>
      </c>
      <c r="X58" s="100">
        <v>0</v>
      </c>
      <c r="Y58" s="100">
        <v>0</v>
      </c>
      <c r="Z58" s="100">
        <v>0</v>
      </c>
      <c r="AA58" s="100">
        <v>0</v>
      </c>
    </row>
    <row r="59" spans="1:27" x14ac:dyDescent="0.25">
      <c r="A59">
        <v>58</v>
      </c>
      <c r="B59" s="30" t="s">
        <v>39</v>
      </c>
      <c r="C59" s="10" t="s">
        <v>40</v>
      </c>
      <c r="D59" s="36" t="s">
        <v>207</v>
      </c>
      <c r="E59" s="26">
        <v>42917</v>
      </c>
      <c r="F59" s="33">
        <v>24765</v>
      </c>
      <c r="G59" s="35">
        <v>5</v>
      </c>
      <c r="H59" s="35">
        <f t="shared" si="3"/>
        <v>60</v>
      </c>
      <c r="I59" s="63">
        <v>24765</v>
      </c>
      <c r="J59" s="63">
        <f t="shared" si="6"/>
        <v>0</v>
      </c>
      <c r="K59" s="13">
        <v>0</v>
      </c>
      <c r="L59" s="60">
        <f t="shared" si="7"/>
        <v>0</v>
      </c>
      <c r="M59" s="31">
        <f t="shared" si="1"/>
        <v>24765</v>
      </c>
      <c r="N59" s="31">
        <f t="shared" si="9"/>
        <v>0</v>
      </c>
      <c r="P59" s="100">
        <v>0</v>
      </c>
      <c r="Q59" s="100">
        <v>0</v>
      </c>
      <c r="R59" s="100">
        <v>0</v>
      </c>
      <c r="S59" s="100">
        <v>0</v>
      </c>
      <c r="T59" s="100">
        <v>0</v>
      </c>
      <c r="U59" s="100">
        <v>0</v>
      </c>
      <c r="V59" s="100">
        <v>0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</row>
    <row r="60" spans="1:27" x14ac:dyDescent="0.25">
      <c r="A60">
        <v>59</v>
      </c>
      <c r="B60" s="30" t="s">
        <v>39</v>
      </c>
      <c r="C60" s="10" t="s">
        <v>40</v>
      </c>
      <c r="D60" s="39" t="s">
        <v>208</v>
      </c>
      <c r="E60" s="26">
        <v>42917</v>
      </c>
      <c r="F60" s="29">
        <v>10962.98</v>
      </c>
      <c r="G60" s="46">
        <v>3</v>
      </c>
      <c r="H60" s="46">
        <f t="shared" si="3"/>
        <v>36</v>
      </c>
      <c r="I60" s="63">
        <v>10962.98</v>
      </c>
      <c r="J60" s="63">
        <f t="shared" si="6"/>
        <v>0</v>
      </c>
      <c r="K60" s="13">
        <v>0</v>
      </c>
      <c r="L60" s="61">
        <f t="shared" si="7"/>
        <v>0</v>
      </c>
      <c r="M60" s="31">
        <f t="shared" si="1"/>
        <v>10962.98</v>
      </c>
      <c r="N60" s="70">
        <f t="shared" ref="N60:N66" si="10">ROUND(F60-M60,2)</f>
        <v>0</v>
      </c>
      <c r="P60" s="100">
        <v>0</v>
      </c>
      <c r="Q60" s="100">
        <v>0</v>
      </c>
      <c r="R60" s="100">
        <v>0</v>
      </c>
      <c r="S60" s="100">
        <v>0</v>
      </c>
      <c r="T60" s="100">
        <v>0</v>
      </c>
      <c r="U60" s="100">
        <v>0</v>
      </c>
      <c r="V60" s="100">
        <v>0</v>
      </c>
      <c r="W60" s="100">
        <v>0</v>
      </c>
      <c r="X60" s="100">
        <v>0</v>
      </c>
      <c r="Y60" s="100">
        <v>0</v>
      </c>
      <c r="Z60" s="100">
        <v>0</v>
      </c>
      <c r="AA60" s="100">
        <v>0</v>
      </c>
    </row>
    <row r="61" spans="1:27" x14ac:dyDescent="0.25">
      <c r="A61">
        <v>60</v>
      </c>
      <c r="B61" s="30" t="s">
        <v>39</v>
      </c>
      <c r="C61" s="10" t="s">
        <v>40</v>
      </c>
      <c r="D61" s="39" t="s">
        <v>67</v>
      </c>
      <c r="E61" s="28">
        <v>42948</v>
      </c>
      <c r="F61" s="29">
        <v>2159.81</v>
      </c>
      <c r="G61" s="46">
        <v>3</v>
      </c>
      <c r="H61" s="46">
        <f t="shared" si="3"/>
        <v>36</v>
      </c>
      <c r="I61" s="63">
        <v>2159.81</v>
      </c>
      <c r="J61" s="63">
        <f t="shared" si="6"/>
        <v>0</v>
      </c>
      <c r="K61" s="13">
        <v>0</v>
      </c>
      <c r="L61" s="61">
        <f t="shared" si="7"/>
        <v>0</v>
      </c>
      <c r="M61" s="31">
        <f t="shared" si="1"/>
        <v>2159.81</v>
      </c>
      <c r="N61" s="70">
        <f t="shared" si="10"/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0</v>
      </c>
      <c r="U61" s="100">
        <v>0</v>
      </c>
      <c r="V61" s="100">
        <v>0</v>
      </c>
      <c r="W61" s="100">
        <v>0</v>
      </c>
      <c r="X61" s="100">
        <v>0</v>
      </c>
      <c r="Y61" s="100">
        <v>0</v>
      </c>
      <c r="Z61" s="100">
        <v>0</v>
      </c>
      <c r="AA61" s="100">
        <v>0</v>
      </c>
    </row>
    <row r="62" spans="1:27" x14ac:dyDescent="0.25">
      <c r="A62">
        <v>61</v>
      </c>
      <c r="B62" s="30" t="s">
        <v>39</v>
      </c>
      <c r="C62" s="10" t="s">
        <v>40</v>
      </c>
      <c r="D62" s="39" t="s">
        <v>209</v>
      </c>
      <c r="E62" s="28">
        <v>42948</v>
      </c>
      <c r="F62" s="33">
        <v>1448</v>
      </c>
      <c r="G62" s="35">
        <v>3</v>
      </c>
      <c r="H62" s="35">
        <f t="shared" si="3"/>
        <v>36</v>
      </c>
      <c r="I62" s="63">
        <v>1448</v>
      </c>
      <c r="J62" s="63">
        <f t="shared" si="6"/>
        <v>0</v>
      </c>
      <c r="K62" s="13">
        <v>0</v>
      </c>
      <c r="L62" s="61">
        <f t="shared" si="7"/>
        <v>0</v>
      </c>
      <c r="M62" s="31">
        <f t="shared" ref="M62:M77" si="11">I62+L62</f>
        <v>1448</v>
      </c>
      <c r="N62" s="70">
        <f t="shared" si="10"/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</row>
    <row r="63" spans="1:27" x14ac:dyDescent="0.25">
      <c r="A63">
        <v>62</v>
      </c>
      <c r="B63" s="30" t="s">
        <v>39</v>
      </c>
      <c r="C63" s="10" t="s">
        <v>40</v>
      </c>
      <c r="D63" s="39" t="s">
        <v>68</v>
      </c>
      <c r="E63" s="28">
        <v>42948</v>
      </c>
      <c r="F63" s="29">
        <v>2559</v>
      </c>
      <c r="G63" s="46">
        <v>3</v>
      </c>
      <c r="H63" s="46">
        <f t="shared" si="3"/>
        <v>36</v>
      </c>
      <c r="I63" s="63">
        <v>2559</v>
      </c>
      <c r="J63" s="63">
        <f t="shared" si="6"/>
        <v>0</v>
      </c>
      <c r="K63" s="13">
        <v>0</v>
      </c>
      <c r="L63" s="61">
        <f t="shared" si="7"/>
        <v>0</v>
      </c>
      <c r="M63" s="31">
        <f t="shared" si="11"/>
        <v>2559</v>
      </c>
      <c r="N63" s="70">
        <f t="shared" si="10"/>
        <v>0</v>
      </c>
      <c r="P63" s="100">
        <v>0</v>
      </c>
      <c r="Q63" s="100">
        <v>0</v>
      </c>
      <c r="R63" s="100">
        <v>0</v>
      </c>
      <c r="S63" s="100">
        <v>0</v>
      </c>
      <c r="T63" s="100">
        <v>0</v>
      </c>
      <c r="U63" s="100">
        <v>0</v>
      </c>
      <c r="V63" s="100">
        <v>0</v>
      </c>
      <c r="W63" s="100">
        <v>0</v>
      </c>
      <c r="X63" s="100">
        <v>0</v>
      </c>
      <c r="Y63" s="100">
        <v>0</v>
      </c>
      <c r="Z63" s="100">
        <v>0</v>
      </c>
      <c r="AA63" s="100">
        <v>0</v>
      </c>
    </row>
    <row r="64" spans="1:27" x14ac:dyDescent="0.25">
      <c r="A64">
        <v>63</v>
      </c>
      <c r="B64" s="30" t="s">
        <v>39</v>
      </c>
      <c r="C64" s="10" t="s">
        <v>40</v>
      </c>
      <c r="D64" s="39" t="s">
        <v>210</v>
      </c>
      <c r="E64" s="28">
        <v>42979</v>
      </c>
      <c r="F64" s="29">
        <v>6103.74</v>
      </c>
      <c r="G64" s="46">
        <v>4</v>
      </c>
      <c r="H64" s="46">
        <f t="shared" ref="H64:H77" si="12">G64*12</f>
        <v>48</v>
      </c>
      <c r="I64" s="63">
        <v>6103.7400000000007</v>
      </c>
      <c r="J64" s="63">
        <f t="shared" si="6"/>
        <v>0</v>
      </c>
      <c r="K64" s="13">
        <v>0</v>
      </c>
      <c r="L64" s="60">
        <f t="shared" si="7"/>
        <v>0</v>
      </c>
      <c r="M64" s="31">
        <f t="shared" si="11"/>
        <v>6103.7400000000007</v>
      </c>
      <c r="N64" s="70">
        <f t="shared" si="10"/>
        <v>0</v>
      </c>
      <c r="P64" s="100">
        <v>0</v>
      </c>
      <c r="Q64" s="100">
        <v>0</v>
      </c>
      <c r="R64" s="100">
        <v>0</v>
      </c>
      <c r="S64" s="100">
        <v>0</v>
      </c>
      <c r="T64" s="100">
        <v>0</v>
      </c>
      <c r="U64" s="100">
        <v>0</v>
      </c>
      <c r="V64" s="100">
        <v>0</v>
      </c>
      <c r="W64" s="100">
        <v>0</v>
      </c>
      <c r="X64" s="100">
        <v>0</v>
      </c>
      <c r="Y64" s="100">
        <v>0</v>
      </c>
      <c r="Z64" s="100">
        <v>0</v>
      </c>
      <c r="AA64" s="100">
        <v>0</v>
      </c>
    </row>
    <row r="65" spans="1:27" x14ac:dyDescent="0.25">
      <c r="A65">
        <v>64</v>
      </c>
      <c r="B65" s="30" t="s">
        <v>39</v>
      </c>
      <c r="C65" s="10" t="s">
        <v>40</v>
      </c>
      <c r="D65" s="39" t="s">
        <v>211</v>
      </c>
      <c r="E65" s="28">
        <v>42979</v>
      </c>
      <c r="F65" s="29">
        <v>1725.87</v>
      </c>
      <c r="G65" s="46">
        <v>3</v>
      </c>
      <c r="H65" s="46">
        <f t="shared" si="12"/>
        <v>36</v>
      </c>
      <c r="I65" s="63">
        <v>1725.87</v>
      </c>
      <c r="J65" s="63">
        <f t="shared" si="6"/>
        <v>0</v>
      </c>
      <c r="K65" s="13">
        <v>0</v>
      </c>
      <c r="L65" s="61">
        <f t="shared" si="7"/>
        <v>0</v>
      </c>
      <c r="M65" s="31">
        <f t="shared" si="11"/>
        <v>1725.87</v>
      </c>
      <c r="N65" s="70">
        <f t="shared" si="10"/>
        <v>0</v>
      </c>
      <c r="P65" s="100">
        <v>0</v>
      </c>
      <c r="Q65" s="100">
        <v>0</v>
      </c>
      <c r="R65" s="100">
        <v>0</v>
      </c>
      <c r="S65" s="100">
        <v>0</v>
      </c>
      <c r="T65" s="100">
        <v>0</v>
      </c>
      <c r="U65" s="100">
        <v>0</v>
      </c>
      <c r="V65" s="100">
        <v>0</v>
      </c>
      <c r="W65" s="100">
        <v>0</v>
      </c>
      <c r="X65" s="100">
        <v>0</v>
      </c>
      <c r="Y65" s="100">
        <v>0</v>
      </c>
      <c r="Z65" s="100">
        <v>0</v>
      </c>
      <c r="AA65" s="100">
        <v>0</v>
      </c>
    </row>
    <row r="66" spans="1:27" x14ac:dyDescent="0.25">
      <c r="A66">
        <v>65</v>
      </c>
      <c r="B66" s="30" t="s">
        <v>39</v>
      </c>
      <c r="C66" s="10" t="s">
        <v>40</v>
      </c>
      <c r="D66" s="39" t="s">
        <v>212</v>
      </c>
      <c r="E66" s="28">
        <v>43191</v>
      </c>
      <c r="F66" s="29">
        <v>2316.1</v>
      </c>
      <c r="G66" s="46">
        <v>3</v>
      </c>
      <c r="H66" s="46">
        <f t="shared" si="12"/>
        <v>36</v>
      </c>
      <c r="I66" s="63">
        <v>2316.1</v>
      </c>
      <c r="J66" s="63">
        <f t="shared" si="6"/>
        <v>0</v>
      </c>
      <c r="K66" s="13">
        <v>0</v>
      </c>
      <c r="L66" s="61">
        <f t="shared" si="7"/>
        <v>0</v>
      </c>
      <c r="M66" s="31">
        <f t="shared" si="11"/>
        <v>2316.1</v>
      </c>
      <c r="N66" s="70">
        <f t="shared" si="10"/>
        <v>0</v>
      </c>
      <c r="P66" s="100">
        <v>0</v>
      </c>
      <c r="Q66" s="100">
        <v>0</v>
      </c>
      <c r="R66" s="100">
        <v>0</v>
      </c>
      <c r="S66" s="100">
        <v>0</v>
      </c>
      <c r="T66" s="100">
        <v>0</v>
      </c>
      <c r="U66" s="100">
        <v>0</v>
      </c>
      <c r="V66" s="100">
        <v>0</v>
      </c>
      <c r="W66" s="100">
        <v>0</v>
      </c>
      <c r="X66" s="100">
        <v>0</v>
      </c>
      <c r="Y66" s="100">
        <v>0</v>
      </c>
      <c r="Z66" s="100">
        <v>0</v>
      </c>
      <c r="AA66" s="100">
        <v>0</v>
      </c>
    </row>
    <row r="67" spans="1:27" x14ac:dyDescent="0.25">
      <c r="A67">
        <v>66</v>
      </c>
      <c r="B67" s="30" t="s">
        <v>39</v>
      </c>
      <c r="C67" s="10" t="s">
        <v>40</v>
      </c>
      <c r="D67" s="39" t="s">
        <v>213</v>
      </c>
      <c r="E67" s="28">
        <v>43466</v>
      </c>
      <c r="F67" s="29">
        <v>1491.79</v>
      </c>
      <c r="G67" s="46">
        <v>3</v>
      </c>
      <c r="H67" s="46">
        <f t="shared" si="12"/>
        <v>36</v>
      </c>
      <c r="I67" s="63">
        <v>1491.7897222222223</v>
      </c>
      <c r="J67" s="63">
        <f t="shared" si="6"/>
        <v>2.7777777768278611E-4</v>
      </c>
      <c r="K67" s="13">
        <v>0</v>
      </c>
      <c r="L67" s="60"/>
      <c r="M67" s="31">
        <f t="shared" si="11"/>
        <v>1491.7897222222223</v>
      </c>
      <c r="N67" s="70">
        <f>ROUND(F67-M67,2)</f>
        <v>0</v>
      </c>
      <c r="P67" s="100">
        <v>0</v>
      </c>
      <c r="Q67" s="100">
        <v>0</v>
      </c>
      <c r="R67" s="100">
        <v>0</v>
      </c>
      <c r="S67" s="100">
        <v>0</v>
      </c>
      <c r="T67" s="100">
        <v>0</v>
      </c>
      <c r="U67" s="100">
        <v>0</v>
      </c>
      <c r="V67" s="100">
        <v>0</v>
      </c>
      <c r="W67" s="100">
        <v>0</v>
      </c>
      <c r="X67" s="100">
        <v>0</v>
      </c>
      <c r="Y67" s="100">
        <v>0</v>
      </c>
      <c r="Z67" s="100">
        <v>0</v>
      </c>
      <c r="AA67" s="100">
        <v>0</v>
      </c>
    </row>
    <row r="68" spans="1:27" x14ac:dyDescent="0.25">
      <c r="A68">
        <v>67</v>
      </c>
      <c r="B68" s="30" t="s">
        <v>39</v>
      </c>
      <c r="C68" s="10" t="s">
        <v>40</v>
      </c>
      <c r="D68" s="39" t="s">
        <v>209</v>
      </c>
      <c r="E68" s="28">
        <v>43497</v>
      </c>
      <c r="F68" s="29">
        <v>2067.08</v>
      </c>
      <c r="G68" s="46">
        <v>3</v>
      </c>
      <c r="H68" s="46">
        <f t="shared" si="12"/>
        <v>36</v>
      </c>
      <c r="I68" s="63">
        <v>2067.0766666666664</v>
      </c>
      <c r="J68" s="63">
        <f t="shared" si="6"/>
        <v>3.3333333335576754E-3</v>
      </c>
      <c r="K68" s="13">
        <v>0</v>
      </c>
      <c r="L68" s="60"/>
      <c r="M68" s="31">
        <f t="shared" si="11"/>
        <v>2067.0766666666664</v>
      </c>
      <c r="N68" s="70">
        <f>ROUND(F68-M68,2)</f>
        <v>0</v>
      </c>
      <c r="P68" s="100">
        <v>0</v>
      </c>
      <c r="Q68" s="100">
        <v>0</v>
      </c>
      <c r="R68" s="100">
        <v>0</v>
      </c>
      <c r="S68" s="100">
        <v>0</v>
      </c>
      <c r="T68" s="100">
        <v>0</v>
      </c>
      <c r="U68" s="100">
        <v>0</v>
      </c>
      <c r="V68" s="100">
        <v>0</v>
      </c>
      <c r="W68" s="100">
        <v>0</v>
      </c>
      <c r="X68" s="100">
        <v>0</v>
      </c>
      <c r="Y68" s="100">
        <v>0</v>
      </c>
      <c r="Z68" s="100">
        <v>0</v>
      </c>
      <c r="AA68" s="100">
        <v>0</v>
      </c>
    </row>
    <row r="69" spans="1:27" x14ac:dyDescent="0.25">
      <c r="A69">
        <v>68</v>
      </c>
      <c r="B69" s="30" t="s">
        <v>39</v>
      </c>
      <c r="C69" s="10" t="s">
        <v>40</v>
      </c>
      <c r="D69" s="39" t="s">
        <v>209</v>
      </c>
      <c r="E69" s="28">
        <v>43586</v>
      </c>
      <c r="F69" s="29">
        <v>2330.9299999999998</v>
      </c>
      <c r="G69" s="46">
        <v>3</v>
      </c>
      <c r="H69" s="46">
        <f t="shared" si="12"/>
        <v>36</v>
      </c>
      <c r="I69" s="63">
        <v>2330.9338888888888</v>
      </c>
      <c r="J69" s="63">
        <f t="shared" si="6"/>
        <v>-3.8888888889232476E-3</v>
      </c>
      <c r="K69" s="13">
        <v>0</v>
      </c>
      <c r="L69" s="60"/>
      <c r="M69" s="31">
        <f>I69+L69</f>
        <v>2330.9338888888888</v>
      </c>
      <c r="N69" s="31">
        <f>F69-M69</f>
        <v>-3.8888888889232476E-3</v>
      </c>
      <c r="P69" s="100">
        <v>0</v>
      </c>
      <c r="Q69" s="100">
        <v>0</v>
      </c>
      <c r="R69" s="100">
        <v>0</v>
      </c>
      <c r="S69" s="100">
        <v>0</v>
      </c>
      <c r="T69" s="100">
        <v>0</v>
      </c>
      <c r="U69" s="100">
        <v>0</v>
      </c>
      <c r="V69" s="100">
        <v>0</v>
      </c>
      <c r="W69" s="100">
        <v>0</v>
      </c>
      <c r="X69" s="100">
        <v>0</v>
      </c>
      <c r="Y69" s="100">
        <v>0</v>
      </c>
      <c r="Z69" s="100">
        <v>0</v>
      </c>
      <c r="AA69" s="100">
        <v>0</v>
      </c>
    </row>
    <row r="70" spans="1:27" x14ac:dyDescent="0.25">
      <c r="A70">
        <v>69</v>
      </c>
      <c r="B70" s="30" t="s">
        <v>39</v>
      </c>
      <c r="C70" s="10" t="s">
        <v>40</v>
      </c>
      <c r="D70" s="39" t="s">
        <v>214</v>
      </c>
      <c r="E70" s="28">
        <v>43755</v>
      </c>
      <c r="F70" s="29">
        <v>15675</v>
      </c>
      <c r="G70" s="46">
        <v>5</v>
      </c>
      <c r="H70" s="46">
        <f t="shared" si="12"/>
        <v>60</v>
      </c>
      <c r="I70" s="63">
        <v>11756.25</v>
      </c>
      <c r="J70" s="63">
        <f t="shared" si="6"/>
        <v>3918.75</v>
      </c>
      <c r="K70" s="13">
        <f>F70/H70</f>
        <v>261.25</v>
      </c>
      <c r="L70" s="60">
        <f t="shared" si="7"/>
        <v>3135</v>
      </c>
      <c r="M70" s="31">
        <f t="shared" si="11"/>
        <v>14891.25</v>
      </c>
      <c r="N70" s="31">
        <f t="shared" si="9"/>
        <v>783.75</v>
      </c>
      <c r="P70" s="100">
        <v>261.25</v>
      </c>
      <c r="Q70" s="100">
        <v>261.25</v>
      </c>
      <c r="R70" s="100">
        <v>261.25</v>
      </c>
      <c r="S70" s="100">
        <v>261.25</v>
      </c>
      <c r="T70" s="100">
        <v>261.25</v>
      </c>
      <c r="U70" s="100">
        <v>261.25</v>
      </c>
      <c r="V70" s="100">
        <v>261.25</v>
      </c>
      <c r="W70" s="100">
        <v>261.25</v>
      </c>
      <c r="X70" s="100">
        <v>261.25</v>
      </c>
      <c r="Y70" s="100">
        <v>261.25</v>
      </c>
      <c r="Z70" s="100">
        <v>261.25</v>
      </c>
      <c r="AA70" s="100">
        <v>261.25</v>
      </c>
    </row>
    <row r="71" spans="1:27" x14ac:dyDescent="0.25">
      <c r="A71">
        <v>70</v>
      </c>
      <c r="B71" s="30" t="s">
        <v>39</v>
      </c>
      <c r="C71" s="10" t="s">
        <v>40</v>
      </c>
      <c r="D71" s="39" t="s">
        <v>219</v>
      </c>
      <c r="E71" s="28">
        <v>43775</v>
      </c>
      <c r="F71" s="29">
        <v>4579.68</v>
      </c>
      <c r="G71" s="46">
        <v>3</v>
      </c>
      <c r="H71" s="46">
        <f t="shared" si="12"/>
        <v>36</v>
      </c>
      <c r="I71" s="63">
        <v>4579.666666666667</v>
      </c>
      <c r="J71" s="63">
        <f t="shared" si="6"/>
        <v>1.3333333333321207E-2</v>
      </c>
      <c r="K71" s="13">
        <v>0</v>
      </c>
      <c r="L71" s="60">
        <f t="shared" si="7"/>
        <v>0.01</v>
      </c>
      <c r="M71" s="31">
        <f t="shared" si="11"/>
        <v>4579.6766666666672</v>
      </c>
      <c r="N71" s="31">
        <f t="shared" si="9"/>
        <v>3.333333333102928E-3</v>
      </c>
      <c r="P71" s="100">
        <v>0.01</v>
      </c>
      <c r="Q71" s="100">
        <v>0</v>
      </c>
      <c r="R71" s="100">
        <v>0</v>
      </c>
      <c r="S71" s="100">
        <v>0</v>
      </c>
      <c r="T71" s="100">
        <v>0</v>
      </c>
      <c r="U71" s="100">
        <v>0</v>
      </c>
      <c r="V71" s="100">
        <v>0</v>
      </c>
      <c r="W71" s="100">
        <v>0</v>
      </c>
      <c r="X71" s="100">
        <v>0</v>
      </c>
      <c r="Y71" s="100">
        <v>0</v>
      </c>
      <c r="Z71" s="100">
        <v>0</v>
      </c>
      <c r="AA71" s="100">
        <v>0</v>
      </c>
    </row>
    <row r="72" spans="1:27" x14ac:dyDescent="0.25">
      <c r="A72">
        <v>71</v>
      </c>
      <c r="B72" s="30" t="s">
        <v>39</v>
      </c>
      <c r="C72" s="10" t="s">
        <v>40</v>
      </c>
      <c r="D72" s="39" t="s">
        <v>219</v>
      </c>
      <c r="E72" s="28">
        <v>43836</v>
      </c>
      <c r="F72" s="29">
        <v>1305.19</v>
      </c>
      <c r="G72" s="46">
        <v>3</v>
      </c>
      <c r="H72" s="46">
        <f t="shared" si="12"/>
        <v>36</v>
      </c>
      <c r="I72" s="63">
        <v>1305.1900000000003</v>
      </c>
      <c r="J72" s="63">
        <f t="shared" si="6"/>
        <v>0</v>
      </c>
      <c r="K72" s="13">
        <v>0</v>
      </c>
      <c r="L72" s="60">
        <f t="shared" si="7"/>
        <v>0</v>
      </c>
      <c r="M72" s="31">
        <f t="shared" si="11"/>
        <v>1305.1900000000003</v>
      </c>
      <c r="N72" s="31">
        <f t="shared" si="9"/>
        <v>0</v>
      </c>
      <c r="P72" s="100">
        <v>0</v>
      </c>
      <c r="Q72" s="100">
        <v>0</v>
      </c>
      <c r="R72" s="100">
        <v>0</v>
      </c>
      <c r="S72" s="100">
        <v>0</v>
      </c>
      <c r="T72" s="100">
        <v>0</v>
      </c>
      <c r="U72" s="100">
        <v>0</v>
      </c>
      <c r="V72" s="100">
        <v>0</v>
      </c>
      <c r="W72" s="100">
        <v>0</v>
      </c>
      <c r="X72" s="100">
        <v>0</v>
      </c>
      <c r="Y72" s="100">
        <v>0</v>
      </c>
      <c r="Z72" s="100">
        <v>0</v>
      </c>
      <c r="AA72" s="100">
        <v>0</v>
      </c>
    </row>
    <row r="73" spans="1:27" x14ac:dyDescent="0.25">
      <c r="A73">
        <v>72</v>
      </c>
      <c r="B73" s="53" t="s">
        <v>39</v>
      </c>
      <c r="C73" s="54" t="s">
        <v>40</v>
      </c>
      <c r="D73" s="16" t="s">
        <v>215</v>
      </c>
      <c r="E73" s="55">
        <v>44044</v>
      </c>
      <c r="F73" s="29">
        <f>6940+14060-3940</f>
        <v>17060</v>
      </c>
      <c r="G73" s="46">
        <v>3</v>
      </c>
      <c r="H73" s="46">
        <f t="shared" si="12"/>
        <v>36</v>
      </c>
      <c r="I73" s="65">
        <v>16586.150000000001</v>
      </c>
      <c r="J73" s="65">
        <f t="shared" si="6"/>
        <v>473.84999999999854</v>
      </c>
      <c r="K73" s="67">
        <v>0</v>
      </c>
      <c r="L73" s="60">
        <f t="shared" si="7"/>
        <v>473.85</v>
      </c>
      <c r="M73" s="31">
        <f t="shared" si="11"/>
        <v>17060</v>
      </c>
      <c r="N73" s="31">
        <f t="shared" si="9"/>
        <v>0</v>
      </c>
      <c r="P73" s="100">
        <v>473.85</v>
      </c>
      <c r="Q73" s="100">
        <v>0</v>
      </c>
      <c r="R73" s="100">
        <v>0</v>
      </c>
      <c r="S73" s="100">
        <v>0</v>
      </c>
      <c r="T73" s="100">
        <v>0</v>
      </c>
      <c r="U73" s="100">
        <v>0</v>
      </c>
      <c r="V73" s="100">
        <v>0</v>
      </c>
      <c r="W73" s="100">
        <v>0</v>
      </c>
      <c r="X73" s="100">
        <v>0</v>
      </c>
      <c r="Y73" s="100">
        <v>0</v>
      </c>
      <c r="Z73" s="100">
        <v>0</v>
      </c>
      <c r="AA73" s="100">
        <v>0</v>
      </c>
    </row>
    <row r="74" spans="1:27" x14ac:dyDescent="0.25">
      <c r="A74">
        <v>73</v>
      </c>
      <c r="B74" s="53" t="s">
        <v>39</v>
      </c>
      <c r="C74" s="54" t="s">
        <v>40</v>
      </c>
      <c r="D74" s="16" t="s">
        <v>216</v>
      </c>
      <c r="E74" s="55">
        <v>44409</v>
      </c>
      <c r="F74" s="29">
        <v>6000</v>
      </c>
      <c r="G74" s="46">
        <v>5</v>
      </c>
      <c r="H74" s="46">
        <f t="shared" si="12"/>
        <v>60</v>
      </c>
      <c r="I74" s="65">
        <v>2300</v>
      </c>
      <c r="J74" s="65">
        <f t="shared" si="6"/>
        <v>3700</v>
      </c>
      <c r="K74" s="13">
        <f t="shared" ref="K74:K77" si="13">F74/H74</f>
        <v>100</v>
      </c>
      <c r="L74" s="60">
        <f t="shared" ref="L74" si="14">SUM(P74:AA74)</f>
        <v>1200</v>
      </c>
      <c r="M74" s="31">
        <f t="shared" si="11"/>
        <v>3500</v>
      </c>
      <c r="N74" s="31">
        <f t="shared" si="9"/>
        <v>2500</v>
      </c>
      <c r="P74" s="100">
        <v>100</v>
      </c>
      <c r="Q74" s="100">
        <v>100</v>
      </c>
      <c r="R74" s="100">
        <v>100</v>
      </c>
      <c r="S74" s="100">
        <v>100</v>
      </c>
      <c r="T74" s="100">
        <v>100</v>
      </c>
      <c r="U74" s="100">
        <v>100</v>
      </c>
      <c r="V74" s="100">
        <v>100</v>
      </c>
      <c r="W74" s="100">
        <v>100</v>
      </c>
      <c r="X74" s="100">
        <v>100</v>
      </c>
      <c r="Y74" s="100">
        <v>100</v>
      </c>
      <c r="Z74" s="100">
        <v>100</v>
      </c>
      <c r="AA74" s="100">
        <v>100</v>
      </c>
    </row>
    <row r="75" spans="1:27" x14ac:dyDescent="0.25">
      <c r="A75">
        <v>74</v>
      </c>
      <c r="B75" s="53" t="s">
        <v>39</v>
      </c>
      <c r="C75" s="54" t="s">
        <v>40</v>
      </c>
      <c r="D75" s="16" t="s">
        <v>217</v>
      </c>
      <c r="E75" s="55">
        <v>44409</v>
      </c>
      <c r="F75" s="29">
        <v>6000</v>
      </c>
      <c r="G75" s="46">
        <v>5</v>
      </c>
      <c r="H75" s="46">
        <f t="shared" si="12"/>
        <v>60</v>
      </c>
      <c r="I75" s="65">
        <v>2300</v>
      </c>
      <c r="J75" s="65">
        <f>F75-I75</f>
        <v>3700</v>
      </c>
      <c r="K75" s="13">
        <f t="shared" si="13"/>
        <v>100</v>
      </c>
      <c r="L75" s="60">
        <f t="shared" ref="L75:L77" si="15">SUM(P75:AA75)</f>
        <v>1200</v>
      </c>
      <c r="M75" s="31">
        <f t="shared" si="11"/>
        <v>3500</v>
      </c>
      <c r="N75" s="31">
        <f t="shared" si="9"/>
        <v>2500</v>
      </c>
      <c r="P75" s="100">
        <v>100</v>
      </c>
      <c r="Q75" s="100">
        <v>100</v>
      </c>
      <c r="R75" s="100">
        <v>100</v>
      </c>
      <c r="S75" s="100">
        <v>100</v>
      </c>
      <c r="T75" s="100">
        <v>100</v>
      </c>
      <c r="U75" s="100">
        <v>100</v>
      </c>
      <c r="V75" s="100">
        <v>100</v>
      </c>
      <c r="W75" s="100">
        <v>100</v>
      </c>
      <c r="X75" s="100">
        <v>100</v>
      </c>
      <c r="Y75" s="100">
        <v>100</v>
      </c>
      <c r="Z75" s="100">
        <v>100</v>
      </c>
      <c r="AA75" s="100">
        <v>100</v>
      </c>
    </row>
    <row r="76" spans="1:27" x14ac:dyDescent="0.25">
      <c r="A76">
        <v>75</v>
      </c>
      <c r="B76" s="53" t="s">
        <v>39</v>
      </c>
      <c r="C76" s="54" t="s">
        <v>40</v>
      </c>
      <c r="D76" s="16" t="s">
        <v>218</v>
      </c>
      <c r="E76" s="55">
        <v>44760</v>
      </c>
      <c r="F76" s="29">
        <v>19412.5</v>
      </c>
      <c r="G76" s="46">
        <v>3</v>
      </c>
      <c r="H76" s="46">
        <f t="shared" si="12"/>
        <v>36</v>
      </c>
      <c r="I76" s="65">
        <v>6470.8333333333348</v>
      </c>
      <c r="J76" s="65">
        <f t="shared" ref="J76:J77" si="16">F76-I76</f>
        <v>12941.666666666664</v>
      </c>
      <c r="K76" s="13">
        <f t="shared" si="13"/>
        <v>539.23611111111109</v>
      </c>
      <c r="L76" s="60">
        <f t="shared" si="15"/>
        <v>6470.8799999999983</v>
      </c>
      <c r="M76" s="31">
        <f t="shared" si="11"/>
        <v>12941.713333333333</v>
      </c>
      <c r="N76" s="31">
        <f t="shared" si="9"/>
        <v>6470.7866666666669</v>
      </c>
      <c r="P76" s="100">
        <v>539.24</v>
      </c>
      <c r="Q76" s="100">
        <v>539.24</v>
      </c>
      <c r="R76" s="100">
        <v>539.24</v>
      </c>
      <c r="S76" s="100">
        <v>539.24</v>
      </c>
      <c r="T76" s="100">
        <v>539.24</v>
      </c>
      <c r="U76" s="100">
        <v>539.24</v>
      </c>
      <c r="V76" s="100">
        <v>539.24</v>
      </c>
      <c r="W76" s="100">
        <v>539.24</v>
      </c>
      <c r="X76" s="100">
        <v>539.24</v>
      </c>
      <c r="Y76" s="100">
        <v>539.24</v>
      </c>
      <c r="Z76" s="100">
        <v>539.24</v>
      </c>
      <c r="AA76" s="100">
        <v>539.24</v>
      </c>
    </row>
    <row r="77" spans="1:27" x14ac:dyDescent="0.25">
      <c r="A77">
        <v>76</v>
      </c>
      <c r="B77" s="53" t="s">
        <v>39</v>
      </c>
      <c r="C77" s="54" t="s">
        <v>40</v>
      </c>
      <c r="D77" s="16" t="s">
        <v>209</v>
      </c>
      <c r="E77" s="55">
        <v>44961</v>
      </c>
      <c r="F77" s="29">
        <v>2719.16</v>
      </c>
      <c r="G77" s="46">
        <v>3</v>
      </c>
      <c r="H77" s="46">
        <f t="shared" si="12"/>
        <v>36</v>
      </c>
      <c r="I77" s="65">
        <v>377.6611111111111</v>
      </c>
      <c r="J77" s="65">
        <f t="shared" si="16"/>
        <v>2341.4988888888888</v>
      </c>
      <c r="K77" s="13">
        <f t="shared" si="13"/>
        <v>75.532222222222217</v>
      </c>
      <c r="L77" s="60">
        <f t="shared" si="15"/>
        <v>906.35999999999979</v>
      </c>
      <c r="M77" s="31">
        <f t="shared" si="11"/>
        <v>1284.0211111111109</v>
      </c>
      <c r="N77" s="31">
        <f t="shared" si="9"/>
        <v>1435.1388888888889</v>
      </c>
      <c r="P77" s="100">
        <v>75.53</v>
      </c>
      <c r="Q77" s="100">
        <v>75.53</v>
      </c>
      <c r="R77" s="100">
        <v>75.53</v>
      </c>
      <c r="S77" s="100">
        <v>75.53</v>
      </c>
      <c r="T77" s="100">
        <v>75.53</v>
      </c>
      <c r="U77" s="100">
        <v>75.53</v>
      </c>
      <c r="V77" s="100">
        <v>75.53</v>
      </c>
      <c r="W77" s="100">
        <v>75.53</v>
      </c>
      <c r="X77" s="100">
        <v>75.53</v>
      </c>
      <c r="Y77" s="100">
        <v>75.53</v>
      </c>
      <c r="Z77" s="100">
        <v>75.53</v>
      </c>
      <c r="AA77" s="100">
        <v>75.53</v>
      </c>
    </row>
    <row r="78" spans="1:27" x14ac:dyDescent="0.25">
      <c r="A78">
        <v>77</v>
      </c>
      <c r="B78" s="30" t="s">
        <v>69</v>
      </c>
      <c r="C78" s="10" t="s">
        <v>70</v>
      </c>
      <c r="D78" s="16" t="s">
        <v>220</v>
      </c>
      <c r="E78" s="37">
        <v>42956</v>
      </c>
      <c r="F78" s="13">
        <v>4500</v>
      </c>
      <c r="G78" s="14">
        <v>5</v>
      </c>
      <c r="H78" s="46">
        <f>G78*12</f>
        <v>60</v>
      </c>
      <c r="I78" s="63">
        <v>4500</v>
      </c>
      <c r="J78" s="63">
        <f>F78-I78</f>
        <v>0</v>
      </c>
      <c r="K78" s="13">
        <v>0</v>
      </c>
      <c r="L78" s="60">
        <f>SUM(P78:AA78)</f>
        <v>0</v>
      </c>
      <c r="M78" s="31">
        <f>I78+L78</f>
        <v>4500</v>
      </c>
      <c r="N78" s="31">
        <f>F78-M78</f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0</v>
      </c>
      <c r="U78" s="100">
        <v>0</v>
      </c>
      <c r="V78" s="100">
        <v>0</v>
      </c>
      <c r="W78" s="100">
        <v>0</v>
      </c>
      <c r="X78" s="100">
        <v>0</v>
      </c>
      <c r="Y78" s="100">
        <v>0</v>
      </c>
      <c r="Z78" s="100">
        <v>0</v>
      </c>
      <c r="AA78" s="100">
        <v>0</v>
      </c>
    </row>
    <row r="79" spans="1:27" x14ac:dyDescent="0.25">
      <c r="A79">
        <v>78</v>
      </c>
      <c r="B79" s="30" t="s">
        <v>69</v>
      </c>
      <c r="C79" s="10" t="s">
        <v>70</v>
      </c>
      <c r="D79" s="39" t="s">
        <v>221</v>
      </c>
      <c r="E79" s="28">
        <v>41456</v>
      </c>
      <c r="F79" s="13">
        <v>5705</v>
      </c>
      <c r="G79" s="14">
        <v>5</v>
      </c>
      <c r="H79" s="46">
        <f>G79*12</f>
        <v>60</v>
      </c>
      <c r="I79" s="63">
        <v>5705</v>
      </c>
      <c r="J79" s="63">
        <f>F79-I79</f>
        <v>0</v>
      </c>
      <c r="K79" s="13"/>
      <c r="L79" s="61">
        <f>SUM(P79:AA79)</f>
        <v>0</v>
      </c>
      <c r="M79" s="31">
        <f>I79+L79</f>
        <v>5705</v>
      </c>
      <c r="N79" s="31">
        <f>F79-M79</f>
        <v>0</v>
      </c>
      <c r="P79" s="100">
        <v>0</v>
      </c>
      <c r="Q79" s="100">
        <v>0</v>
      </c>
      <c r="R79" s="100">
        <v>0</v>
      </c>
      <c r="S79" s="100">
        <v>0</v>
      </c>
      <c r="T79" s="100">
        <v>0</v>
      </c>
      <c r="U79" s="100">
        <v>0</v>
      </c>
      <c r="V79" s="100">
        <v>0</v>
      </c>
      <c r="W79" s="100">
        <v>0</v>
      </c>
      <c r="X79" s="100">
        <v>0</v>
      </c>
      <c r="Y79" s="100">
        <v>0</v>
      </c>
      <c r="Z79" s="100">
        <v>0</v>
      </c>
      <c r="AA79" s="100">
        <v>0</v>
      </c>
    </row>
    <row r="80" spans="1:27" x14ac:dyDescent="0.25">
      <c r="A80">
        <v>79</v>
      </c>
      <c r="B80" s="30" t="s">
        <v>69</v>
      </c>
      <c r="C80" s="10" t="s">
        <v>70</v>
      </c>
      <c r="D80" s="39" t="s">
        <v>222</v>
      </c>
      <c r="E80" s="37">
        <v>43069</v>
      </c>
      <c r="F80" s="13">
        <v>1198</v>
      </c>
      <c r="G80" s="14">
        <v>5</v>
      </c>
      <c r="H80" s="46">
        <f>G80*12</f>
        <v>60</v>
      </c>
      <c r="I80" s="63">
        <v>1198.0133333333333</v>
      </c>
      <c r="J80" s="63">
        <f>F80-I80</f>
        <v>-1.3333333333321207E-2</v>
      </c>
      <c r="K80" s="13">
        <v>0</v>
      </c>
      <c r="L80" s="60">
        <f>SUM(P80:AA80)</f>
        <v>-0.01</v>
      </c>
      <c r="M80" s="31">
        <f>I80+L80</f>
        <v>1198.0033333333333</v>
      </c>
      <c r="N80" s="31">
        <f>F80-M80</f>
        <v>-3.3333333333303017E-3</v>
      </c>
      <c r="P80" s="100">
        <v>-0.01</v>
      </c>
      <c r="Q80" s="100">
        <v>0</v>
      </c>
      <c r="R80" s="100">
        <v>0</v>
      </c>
      <c r="S80" s="100">
        <v>0</v>
      </c>
      <c r="T80" s="100">
        <v>0</v>
      </c>
      <c r="U80" s="100">
        <v>0</v>
      </c>
      <c r="V80" s="100">
        <v>0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</row>
    <row r="81" spans="1:27" x14ac:dyDescent="0.25">
      <c r="A81">
        <v>80</v>
      </c>
      <c r="B81" s="30" t="s">
        <v>170</v>
      </c>
      <c r="C81" s="10" t="s">
        <v>117</v>
      </c>
      <c r="D81" s="39" t="s">
        <v>117</v>
      </c>
      <c r="E81" s="37">
        <v>0</v>
      </c>
      <c r="F81" s="13">
        <v>14</v>
      </c>
      <c r="G81" s="15"/>
      <c r="H81" s="101"/>
      <c r="I81" s="63">
        <v>14</v>
      </c>
      <c r="J81" s="63"/>
      <c r="K81" s="102">
        <v>0</v>
      </c>
      <c r="L81" s="60"/>
      <c r="M81" s="31">
        <v>14</v>
      </c>
      <c r="N81" s="31">
        <v>0</v>
      </c>
      <c r="P81" s="100"/>
      <c r="Q81" s="100"/>
      <c r="R81" s="100"/>
      <c r="S81" s="100"/>
      <c r="T81" s="100"/>
      <c r="U81" s="100"/>
      <c r="V81" s="100"/>
      <c r="W81" s="100"/>
      <c r="X81" s="100"/>
      <c r="Y81" s="100"/>
      <c r="Z81" s="100"/>
      <c r="AA81" s="100"/>
    </row>
    <row r="82" spans="1:27" x14ac:dyDescent="0.25">
      <c r="A82">
        <v>81</v>
      </c>
      <c r="B82" s="30" t="s">
        <v>171</v>
      </c>
      <c r="C82" s="10" t="s">
        <v>223</v>
      </c>
      <c r="D82" s="39" t="s">
        <v>223</v>
      </c>
      <c r="E82" s="37">
        <v>0</v>
      </c>
      <c r="F82" s="13">
        <v>161</v>
      </c>
      <c r="G82" s="15"/>
      <c r="H82" s="101"/>
      <c r="I82" s="63">
        <v>161</v>
      </c>
      <c r="J82" s="63"/>
      <c r="K82" s="102">
        <v>0</v>
      </c>
      <c r="L82" s="60"/>
      <c r="M82" s="31">
        <v>161</v>
      </c>
      <c r="N82" s="31">
        <v>0</v>
      </c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</row>
    <row r="83" spans="1:27" x14ac:dyDescent="0.25">
      <c r="A83">
        <v>82</v>
      </c>
      <c r="B83" s="56">
        <v>15800</v>
      </c>
      <c r="C83" s="10" t="s">
        <v>71</v>
      </c>
      <c r="D83" s="11" t="s">
        <v>224</v>
      </c>
      <c r="E83" s="12">
        <v>31959</v>
      </c>
      <c r="F83" s="13">
        <v>140000</v>
      </c>
      <c r="G83" s="15" t="s">
        <v>72</v>
      </c>
      <c r="H83" s="57" t="s">
        <v>75</v>
      </c>
      <c r="I83" s="63">
        <v>0</v>
      </c>
      <c r="J83" s="63">
        <f>F83</f>
        <v>140000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</row>
    <row r="84" spans="1:27" x14ac:dyDescent="0.25">
      <c r="A84">
        <v>83</v>
      </c>
      <c r="B84" s="56">
        <v>15900</v>
      </c>
      <c r="C84" s="10" t="s">
        <v>73</v>
      </c>
      <c r="D84" s="11" t="s">
        <v>73</v>
      </c>
      <c r="E84" s="12">
        <v>34578</v>
      </c>
      <c r="F84" s="13">
        <v>58910.57</v>
      </c>
      <c r="G84" s="15" t="s">
        <v>72</v>
      </c>
      <c r="H84" s="57" t="s">
        <v>75</v>
      </c>
      <c r="I84" s="63">
        <v>0</v>
      </c>
      <c r="J84" s="63">
        <f>F84</f>
        <v>58910.57</v>
      </c>
      <c r="P84" s="100">
        <v>0</v>
      </c>
      <c r="Q84" s="100">
        <v>0</v>
      </c>
      <c r="R84" s="100">
        <v>0</v>
      </c>
      <c r="S84" s="100">
        <v>0</v>
      </c>
      <c r="T84" s="100">
        <v>0</v>
      </c>
      <c r="U84" s="100">
        <v>0</v>
      </c>
      <c r="V84" s="100">
        <v>0</v>
      </c>
      <c r="W84" s="100">
        <v>0</v>
      </c>
      <c r="X84" s="100">
        <v>0</v>
      </c>
      <c r="Y84" s="100">
        <v>0</v>
      </c>
      <c r="Z84" s="100">
        <v>0</v>
      </c>
      <c r="AA84" s="100">
        <v>0</v>
      </c>
    </row>
    <row r="85" spans="1:27" x14ac:dyDescent="0.25">
      <c r="A85">
        <v>84</v>
      </c>
      <c r="B85" s="56" t="s">
        <v>39</v>
      </c>
      <c r="C85" s="10" t="s">
        <v>40</v>
      </c>
      <c r="D85" s="112" t="s">
        <v>225</v>
      </c>
      <c r="E85" s="113">
        <v>45108</v>
      </c>
      <c r="F85" s="102">
        <v>174000</v>
      </c>
      <c r="G85" s="15">
        <v>3</v>
      </c>
      <c r="H85" s="57">
        <f>G85 * 12</f>
        <v>36</v>
      </c>
      <c r="I85" s="114">
        <v>0</v>
      </c>
      <c r="J85" s="114">
        <f>F85 - I85</f>
        <v>174000</v>
      </c>
      <c r="K85">
        <v>4833.330078125</v>
      </c>
      <c r="L85" s="100">
        <f>SUM(P85:AA85)</f>
        <v>57999.9609375</v>
      </c>
      <c r="M85" s="71">
        <f>I85 + L85</f>
        <v>57999.9609375</v>
      </c>
      <c r="N85" s="71">
        <f>ROUND(F85 - M85,2)</f>
        <v>116000.04</v>
      </c>
      <c r="P85" s="100">
        <v>4833.330078125</v>
      </c>
      <c r="Q85" s="100">
        <v>4833.330078125</v>
      </c>
      <c r="R85" s="100">
        <v>4833.330078125</v>
      </c>
      <c r="S85" s="100">
        <v>4833.330078125</v>
      </c>
      <c r="T85" s="100">
        <v>4833.330078125</v>
      </c>
      <c r="U85" s="100">
        <v>4833.330078125</v>
      </c>
      <c r="V85" s="100">
        <v>4833.330078125</v>
      </c>
      <c r="W85" s="100">
        <v>4833.330078125</v>
      </c>
      <c r="X85" s="100">
        <v>4833.330078125</v>
      </c>
      <c r="Y85" s="100">
        <v>4833.330078125</v>
      </c>
      <c r="Z85" s="100">
        <v>4833.330078125</v>
      </c>
      <c r="AA85" s="100">
        <v>4833.330078125</v>
      </c>
    </row>
    <row r="86" spans="1:27" x14ac:dyDescent="0.25">
      <c r="A86">
        <v>85</v>
      </c>
      <c r="B86" s="56" t="s">
        <v>15</v>
      </c>
      <c r="C86" s="10" t="s">
        <v>16</v>
      </c>
      <c r="D86" s="112" t="s">
        <v>226</v>
      </c>
      <c r="E86" s="113">
        <v>45292</v>
      </c>
      <c r="F86" s="102">
        <v>27715.6796875</v>
      </c>
      <c r="G86" s="15">
        <v>39</v>
      </c>
      <c r="H86" s="57">
        <f>G86 * 12</f>
        <v>468</v>
      </c>
      <c r="I86" s="114">
        <v>0</v>
      </c>
      <c r="J86" s="114">
        <f>F86 - I86</f>
        <v>27715.6796875</v>
      </c>
      <c r="K86">
        <v>59.220001220703125</v>
      </c>
      <c r="L86" s="100">
        <f>SUM(P86:AA86)</f>
        <v>355.32000732421875</v>
      </c>
      <c r="M86" s="71">
        <f>I86 + L86</f>
        <v>355.32000732421875</v>
      </c>
      <c r="N86" s="71">
        <f>ROUND(F86 - M86,2)</f>
        <v>27360.36</v>
      </c>
      <c r="P86" s="100"/>
      <c r="Q86" s="100"/>
      <c r="R86" s="100"/>
      <c r="S86" s="100"/>
      <c r="T86" s="100"/>
      <c r="U86" s="100"/>
      <c r="V86" s="100">
        <v>59.220001220703125</v>
      </c>
      <c r="W86" s="100">
        <v>59.220001220703125</v>
      </c>
      <c r="X86" s="100">
        <v>59.220001220703125</v>
      </c>
      <c r="Y86" s="100">
        <v>59.220001220703125</v>
      </c>
      <c r="Z86" s="100">
        <v>59.220001220703125</v>
      </c>
      <c r="AA86" s="100">
        <v>59.220001220703125</v>
      </c>
    </row>
    <row r="87" spans="1:27" x14ac:dyDescent="0.25">
      <c r="A87">
        <v>86</v>
      </c>
      <c r="B87" s="56" t="s">
        <v>39</v>
      </c>
      <c r="C87" s="10" t="s">
        <v>40</v>
      </c>
      <c r="D87" s="112" t="s">
        <v>227</v>
      </c>
      <c r="E87" s="113">
        <v>45413</v>
      </c>
      <c r="F87" s="102">
        <v>6000</v>
      </c>
      <c r="G87" s="15">
        <v>4</v>
      </c>
      <c r="H87" s="57">
        <f>G87 * 12</f>
        <v>48</v>
      </c>
      <c r="I87" s="114">
        <v>0</v>
      </c>
      <c r="J87" s="114">
        <f>F87 - I87</f>
        <v>6000</v>
      </c>
      <c r="K87">
        <v>125</v>
      </c>
      <c r="L87" s="100">
        <f>SUM(P87:AA87)</f>
        <v>250</v>
      </c>
      <c r="M87" s="71">
        <f>I87 + L87</f>
        <v>250</v>
      </c>
      <c r="N87" s="71">
        <f>ROUND(F87 - M87,2)</f>
        <v>5750</v>
      </c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>
        <v>125</v>
      </c>
      <c r="AA87" s="100">
        <v>125</v>
      </c>
    </row>
    <row r="88" spans="1:27" x14ac:dyDescent="0.25">
      <c r="A88">
        <v>87</v>
      </c>
      <c r="B88" s="56" t="s">
        <v>39</v>
      </c>
      <c r="C88" s="10" t="s">
        <v>40</v>
      </c>
      <c r="D88" s="112" t="s">
        <v>228</v>
      </c>
      <c r="E88" s="113">
        <v>45413</v>
      </c>
      <c r="F88" s="102">
        <v>9000</v>
      </c>
      <c r="G88" s="15">
        <v>10</v>
      </c>
      <c r="H88" s="57">
        <f>G88 * 12</f>
        <v>120</v>
      </c>
      <c r="I88" s="114">
        <v>0</v>
      </c>
      <c r="J88" s="114">
        <f>F88 - I88</f>
        <v>9000</v>
      </c>
      <c r="K88">
        <v>75</v>
      </c>
      <c r="L88" s="100">
        <f>SUM(P88:AA88)</f>
        <v>150</v>
      </c>
      <c r="M88" s="71">
        <f>I88 + L88</f>
        <v>150</v>
      </c>
      <c r="N88" s="71">
        <f>ROUND(F88 - M88,2)</f>
        <v>8850</v>
      </c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>
        <v>75</v>
      </c>
      <c r="AA88" s="100">
        <v>75</v>
      </c>
    </row>
    <row r="89" spans="1:27" x14ac:dyDescent="0.25">
      <c r="A89">
        <v>88</v>
      </c>
      <c r="B89" s="56" t="s">
        <v>39</v>
      </c>
      <c r="C89" s="10" t="s">
        <v>40</v>
      </c>
      <c r="D89" s="112" t="s">
        <v>229</v>
      </c>
      <c r="E89" s="113">
        <v>45413</v>
      </c>
      <c r="F89" s="102">
        <v>7500</v>
      </c>
      <c r="G89" s="15">
        <v>8</v>
      </c>
      <c r="H89" s="57">
        <f>G89 * 12</f>
        <v>96</v>
      </c>
      <c r="I89" s="114">
        <v>0</v>
      </c>
      <c r="J89" s="114">
        <f>F89 - I89</f>
        <v>7500</v>
      </c>
      <c r="K89">
        <v>78.129997253417969</v>
      </c>
      <c r="L89" s="100">
        <f>SUM(P89:AA89)</f>
        <v>156.25999450683594</v>
      </c>
      <c r="M89" s="71">
        <f>I89 + L89</f>
        <v>156.25999450683594</v>
      </c>
      <c r="N89" s="71">
        <f>ROUND(F89 - M89,2)</f>
        <v>7343.74</v>
      </c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00">
        <v>78.129997253417969</v>
      </c>
      <c r="AA89" s="100">
        <v>78.129997253417969</v>
      </c>
    </row>
    <row r="90" spans="1:27" x14ac:dyDescent="0.25">
      <c r="B90" s="56"/>
      <c r="C90" s="10"/>
      <c r="D90" s="112"/>
      <c r="E90" s="113"/>
      <c r="F90" s="102"/>
      <c r="G90" s="15"/>
      <c r="H90" s="57"/>
      <c r="I90" s="114"/>
      <c r="J90" s="114"/>
      <c r="L90" s="100"/>
      <c r="P90" s="100"/>
      <c r="Q90" s="100"/>
      <c r="R90" s="100"/>
      <c r="S90" s="100"/>
      <c r="T90" s="100"/>
      <c r="U90" s="100"/>
      <c r="V90" s="100"/>
      <c r="W90" s="100"/>
      <c r="X90" s="100"/>
      <c r="Y90" s="100"/>
      <c r="Z90" s="100"/>
      <c r="AA90" s="100"/>
    </row>
    <row r="91" spans="1:27" x14ac:dyDescent="0.25">
      <c r="B91" s="56"/>
      <c r="C91" s="10"/>
      <c r="D91" s="112"/>
      <c r="E91" s="113"/>
      <c r="F91" s="102"/>
      <c r="G91" s="15"/>
      <c r="H91" s="57"/>
      <c r="I91" s="114"/>
      <c r="J91" s="114"/>
      <c r="L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</row>
    <row r="92" spans="1:27" x14ac:dyDescent="0.25">
      <c r="B92" s="56"/>
      <c r="C92" s="10"/>
      <c r="D92" s="112"/>
      <c r="E92" s="113"/>
      <c r="F92" s="102"/>
      <c r="G92" s="15"/>
      <c r="H92" s="57"/>
      <c r="I92" s="114"/>
      <c r="J92" s="114"/>
      <c r="L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</row>
    <row r="93" spans="1:27" x14ac:dyDescent="0.25">
      <c r="F93" s="100"/>
      <c r="P93" s="100"/>
    </row>
    <row r="94" spans="1:27" x14ac:dyDescent="0.25">
      <c r="F94" s="100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E6E65-17BF-4004-972F-B7AD86E4CC00}">
  <sheetPr codeName="Sheet7"/>
  <dimension ref="A1:L14"/>
  <sheetViews>
    <sheetView workbookViewId="0">
      <selection activeCell="I38" sqref="I38"/>
    </sheetView>
  </sheetViews>
  <sheetFormatPr defaultRowHeight="15" x14ac:dyDescent="0.25"/>
  <cols>
    <col min="2" max="2" width="15.28515625" bestFit="1" customWidth="1"/>
  </cols>
  <sheetData>
    <row r="1" spans="1:12" x14ac:dyDescent="0.25">
      <c r="A1" t="s">
        <v>92</v>
      </c>
      <c r="B1" t="s">
        <v>93</v>
      </c>
      <c r="C1" s="75">
        <v>80200</v>
      </c>
      <c r="D1" s="75">
        <v>15299</v>
      </c>
      <c r="E1" s="75">
        <v>80300</v>
      </c>
      <c r="F1" s="75">
        <v>15399</v>
      </c>
      <c r="G1" s="75">
        <v>80400</v>
      </c>
      <c r="H1" s="75">
        <v>15499</v>
      </c>
      <c r="I1" s="75">
        <v>80500</v>
      </c>
      <c r="J1" s="75">
        <v>15599</v>
      </c>
      <c r="K1" s="75">
        <v>80600</v>
      </c>
      <c r="L1" s="75">
        <v>15699</v>
      </c>
    </row>
    <row r="2" spans="1:12" x14ac:dyDescent="0.25"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1:12" x14ac:dyDescent="0.25">
      <c r="A3" s="92" t="s">
        <v>142</v>
      </c>
      <c r="B3" s="107">
        <v>45169</v>
      </c>
      <c r="C3">
        <v>510.25</v>
      </c>
      <c r="D3">
        <v>510.25</v>
      </c>
      <c r="E3">
        <v>2000.510009765625</v>
      </c>
      <c r="F3">
        <v>2000.510009765625</v>
      </c>
      <c r="G3">
        <v>69.910003662109375</v>
      </c>
      <c r="H3">
        <v>69.910003662109375</v>
      </c>
      <c r="I3">
        <v>6383.2099609375</v>
      </c>
      <c r="J3">
        <v>6383.2099609375</v>
      </c>
      <c r="K3">
        <v>-9.9999997764825821E-3</v>
      </c>
      <c r="L3">
        <v>-9.9999997764825821E-3</v>
      </c>
    </row>
    <row r="4" spans="1:12" x14ac:dyDescent="0.25">
      <c r="A4" s="92" t="s">
        <v>143</v>
      </c>
      <c r="B4" s="107">
        <v>45183</v>
      </c>
      <c r="C4">
        <v>510.25</v>
      </c>
      <c r="D4">
        <v>510.25</v>
      </c>
      <c r="E4">
        <v>2000.5</v>
      </c>
      <c r="F4">
        <v>2000.5</v>
      </c>
      <c r="G4">
        <v>69.910003662109375</v>
      </c>
      <c r="H4">
        <v>69.910003662109375</v>
      </c>
      <c r="I4">
        <v>5909.35009765625</v>
      </c>
      <c r="J4">
        <v>5909.35009765625</v>
      </c>
      <c r="K4">
        <v>0</v>
      </c>
      <c r="L4">
        <v>0</v>
      </c>
    </row>
    <row r="5" spans="1:12" x14ac:dyDescent="0.25">
      <c r="A5" s="92" t="s">
        <v>144</v>
      </c>
      <c r="B5" s="107">
        <v>45232</v>
      </c>
      <c r="C5">
        <v>510.25</v>
      </c>
      <c r="D5">
        <v>510.25</v>
      </c>
      <c r="E5">
        <v>1984.47998046875</v>
      </c>
      <c r="F5">
        <v>1984.47998046875</v>
      </c>
      <c r="G5">
        <v>69.910003662109375</v>
      </c>
      <c r="H5">
        <v>69.910003662109375</v>
      </c>
      <c r="I5">
        <v>5909.35009765625</v>
      </c>
      <c r="J5">
        <v>5909.35009765625</v>
      </c>
      <c r="K5">
        <v>0</v>
      </c>
      <c r="L5">
        <v>0</v>
      </c>
    </row>
    <row r="6" spans="1:12" x14ac:dyDescent="0.25">
      <c r="A6" s="92" t="s">
        <v>145</v>
      </c>
    </row>
    <row r="7" spans="1:12" x14ac:dyDescent="0.25">
      <c r="A7" s="92" t="s">
        <v>146</v>
      </c>
      <c r="B7" s="107">
        <v>45264</v>
      </c>
      <c r="C7">
        <v>510.25</v>
      </c>
      <c r="D7">
        <v>510.25</v>
      </c>
      <c r="E7">
        <v>1870.43994140625</v>
      </c>
      <c r="F7">
        <v>1870.43994140625</v>
      </c>
      <c r="G7">
        <v>69.910003662109375</v>
      </c>
      <c r="H7">
        <v>69.910003662109375</v>
      </c>
      <c r="I7">
        <v>5909.35009765625</v>
      </c>
      <c r="J7">
        <v>5909.35009765625</v>
      </c>
      <c r="K7">
        <v>0</v>
      </c>
      <c r="L7">
        <v>0</v>
      </c>
    </row>
    <row r="8" spans="1:12" x14ac:dyDescent="0.25">
      <c r="A8" s="92" t="s">
        <v>147</v>
      </c>
      <c r="B8" s="107">
        <v>45293</v>
      </c>
      <c r="C8">
        <v>510.25</v>
      </c>
      <c r="D8">
        <v>510.25</v>
      </c>
      <c r="E8">
        <v>1870.43994140625</v>
      </c>
      <c r="F8">
        <v>1870.43994140625</v>
      </c>
      <c r="G8">
        <v>69.910003662109375</v>
      </c>
      <c r="H8">
        <v>69.910003662109375</v>
      </c>
      <c r="I8">
        <v>5909.35009765625</v>
      </c>
      <c r="J8">
        <v>5909.35009765625</v>
      </c>
      <c r="K8">
        <v>0</v>
      </c>
      <c r="L8">
        <v>0</v>
      </c>
    </row>
    <row r="9" spans="1:12" x14ac:dyDescent="0.25">
      <c r="A9" s="92" t="s">
        <v>148</v>
      </c>
      <c r="B9" s="107">
        <v>45324</v>
      </c>
      <c r="C9">
        <v>510.25</v>
      </c>
      <c r="D9">
        <v>510.25</v>
      </c>
      <c r="E9">
        <v>1929.6600341796875</v>
      </c>
      <c r="F9">
        <v>1929.6600341796875</v>
      </c>
      <c r="G9">
        <v>69.910003662109375</v>
      </c>
      <c r="H9">
        <v>69.910003662109375</v>
      </c>
      <c r="I9">
        <v>5909.35009765625</v>
      </c>
      <c r="J9">
        <v>5909.35009765625</v>
      </c>
      <c r="K9">
        <v>0</v>
      </c>
      <c r="L9">
        <v>0</v>
      </c>
    </row>
    <row r="10" spans="1:12" x14ac:dyDescent="0.25">
      <c r="A10" s="92" t="s">
        <v>149</v>
      </c>
      <c r="B10" s="107">
        <v>45355</v>
      </c>
      <c r="C10">
        <v>510.25</v>
      </c>
      <c r="D10">
        <v>510.25</v>
      </c>
      <c r="E10">
        <v>1929.6600341796875</v>
      </c>
      <c r="F10">
        <v>1929.6600341796875</v>
      </c>
      <c r="G10">
        <v>69.910003662109375</v>
      </c>
      <c r="H10">
        <v>69.910003662109375</v>
      </c>
      <c r="I10">
        <v>5909.35009765625</v>
      </c>
      <c r="J10">
        <v>5909.35009765625</v>
      </c>
      <c r="K10">
        <v>0</v>
      </c>
      <c r="L10">
        <v>0</v>
      </c>
    </row>
    <row r="11" spans="1:12" x14ac:dyDescent="0.25">
      <c r="A11" s="92" t="s">
        <v>150</v>
      </c>
      <c r="B11" s="107">
        <v>45380</v>
      </c>
      <c r="C11">
        <v>510.25</v>
      </c>
      <c r="D11">
        <v>510.25</v>
      </c>
      <c r="E11">
        <v>1929.6600341796875</v>
      </c>
      <c r="F11">
        <v>1929.6600341796875</v>
      </c>
      <c r="G11">
        <v>69.910003662109375</v>
      </c>
      <c r="H11">
        <v>69.910003662109375</v>
      </c>
      <c r="I11">
        <v>5909.35009765625</v>
      </c>
      <c r="J11">
        <v>5909.35009765625</v>
      </c>
      <c r="K11">
        <v>0</v>
      </c>
      <c r="L11">
        <v>0</v>
      </c>
    </row>
    <row r="12" spans="1:12" x14ac:dyDescent="0.25">
      <c r="A12" s="92" t="s">
        <v>151</v>
      </c>
      <c r="B12" s="107">
        <v>45408</v>
      </c>
      <c r="C12">
        <v>510.25</v>
      </c>
      <c r="D12">
        <v>510.25</v>
      </c>
      <c r="E12">
        <v>1929.6600341796875</v>
      </c>
      <c r="F12">
        <v>1929.6600341796875</v>
      </c>
      <c r="G12">
        <v>69.910003662109375</v>
      </c>
      <c r="H12">
        <v>69.910003662109375</v>
      </c>
      <c r="I12">
        <v>5909.35009765625</v>
      </c>
      <c r="J12">
        <v>5909.35009765625</v>
      </c>
      <c r="K12">
        <v>0</v>
      </c>
      <c r="L12">
        <v>0</v>
      </c>
    </row>
    <row r="13" spans="1:12" x14ac:dyDescent="0.25">
      <c r="A13" s="92" t="s">
        <v>152</v>
      </c>
    </row>
    <row r="14" spans="1:12" x14ac:dyDescent="0.25">
      <c r="A14" s="92" t="s">
        <v>153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E025A-4770-4638-9871-BF3552D5F9CC}">
  <sheetPr codeName="Sheet8"/>
  <dimension ref="A1:W14"/>
  <sheetViews>
    <sheetView workbookViewId="0">
      <selection activeCell="H25" sqref="H25"/>
    </sheetView>
  </sheetViews>
  <sheetFormatPr defaultRowHeight="15" x14ac:dyDescent="0.25"/>
  <cols>
    <col min="2" max="2" width="15.28515625" bestFit="1" customWidth="1"/>
    <col min="14" max="14" width="10.28515625" bestFit="1" customWidth="1"/>
    <col min="23" max="23" width="10.28515625" bestFit="1" customWidth="1"/>
  </cols>
  <sheetData>
    <row r="1" spans="1:23" x14ac:dyDescent="0.25">
      <c r="A1" t="s">
        <v>92</v>
      </c>
      <c r="B1" t="s">
        <v>93</v>
      </c>
      <c r="C1" s="75" t="s">
        <v>119</v>
      </c>
      <c r="D1" s="75" t="s">
        <v>120</v>
      </c>
      <c r="E1" s="75" t="s">
        <v>121</v>
      </c>
      <c r="F1" s="75" t="s">
        <v>122</v>
      </c>
      <c r="G1" s="75" t="s">
        <v>123</v>
      </c>
      <c r="H1" s="75" t="s">
        <v>124</v>
      </c>
      <c r="I1" s="75" t="s">
        <v>125</v>
      </c>
      <c r="J1" s="75" t="s">
        <v>126</v>
      </c>
      <c r="K1" s="75" t="s">
        <v>127</v>
      </c>
      <c r="L1" s="75" t="s">
        <v>128</v>
      </c>
      <c r="M1" s="75" t="s">
        <v>129</v>
      </c>
      <c r="N1" s="75" t="s">
        <v>130</v>
      </c>
      <c r="O1" s="75" t="s">
        <v>131</v>
      </c>
      <c r="P1" s="75" t="s">
        <v>132</v>
      </c>
      <c r="Q1" s="75" t="s">
        <v>133</v>
      </c>
      <c r="R1" s="75" t="s">
        <v>134</v>
      </c>
      <c r="S1" s="75" t="s">
        <v>135</v>
      </c>
      <c r="T1" s="75" t="s">
        <v>136</v>
      </c>
    </row>
    <row r="2" spans="1:23" x14ac:dyDescent="0.25">
      <c r="A2" t="s">
        <v>169</v>
      </c>
      <c r="B2" s="107">
        <v>45167</v>
      </c>
      <c r="C2">
        <v>563153.32999999996</v>
      </c>
      <c r="D2">
        <v>-563153.32999999996</v>
      </c>
      <c r="E2">
        <v>238794.98</v>
      </c>
      <c r="F2">
        <v>-176036.04</v>
      </c>
      <c r="G2">
        <v>403276.02</v>
      </c>
      <c r="H2">
        <v>-231047.132330305</v>
      </c>
      <c r="I2">
        <v>29242.06</v>
      </c>
      <c r="J2">
        <v>-20023.439999999999</v>
      </c>
      <c r="K2">
        <f>995686.62+2719.16</f>
        <v>998405.78</v>
      </c>
      <c r="L2">
        <v>-971330</v>
      </c>
      <c r="M2">
        <v>11403</v>
      </c>
      <c r="N2" s="110">
        <f>-11403</f>
        <v>-11403</v>
      </c>
      <c r="O2">
        <v>14</v>
      </c>
      <c r="P2">
        <v>161</v>
      </c>
      <c r="Q2">
        <v>-161</v>
      </c>
      <c r="R2">
        <v>-14</v>
      </c>
      <c r="S2">
        <v>140000</v>
      </c>
      <c r="T2">
        <v>58910.57</v>
      </c>
    </row>
    <row r="3" spans="1:23" x14ac:dyDescent="0.25">
      <c r="A3" s="92" t="s">
        <v>142</v>
      </c>
      <c r="B3" s="107">
        <v>45169</v>
      </c>
      <c r="C3">
        <v>563153.3125</v>
      </c>
      <c r="D3">
        <v>-563153.3125</v>
      </c>
      <c r="E3">
        <v>238794.984375</v>
      </c>
      <c r="F3">
        <v>-176546.296875</v>
      </c>
      <c r="G3">
        <v>403276</v>
      </c>
      <c r="H3">
        <v>-233047.65625</v>
      </c>
      <c r="I3">
        <v>29242.060546875</v>
      </c>
      <c r="J3">
        <v>-20093.359375</v>
      </c>
      <c r="K3">
        <v>1172406</v>
      </c>
      <c r="L3">
        <v>-977713.3125</v>
      </c>
      <c r="M3">
        <v>11403</v>
      </c>
      <c r="N3">
        <v>-11403</v>
      </c>
      <c r="O3">
        <v>14</v>
      </c>
      <c r="P3">
        <v>161</v>
      </c>
      <c r="Q3">
        <v>-161</v>
      </c>
      <c r="R3">
        <v>-14</v>
      </c>
      <c r="S3">
        <v>140000</v>
      </c>
      <c r="T3">
        <v>58910.5703125</v>
      </c>
      <c r="W3" s="100"/>
    </row>
    <row r="4" spans="1:23" x14ac:dyDescent="0.25">
      <c r="A4" s="92" t="s">
        <v>143</v>
      </c>
      <c r="B4" s="107">
        <v>45183</v>
      </c>
      <c r="C4">
        <v>563153.3125</v>
      </c>
      <c r="D4">
        <v>-563153.3125</v>
      </c>
      <c r="E4">
        <v>238794.984375</v>
      </c>
      <c r="F4">
        <v>-177056.546875</v>
      </c>
      <c r="G4">
        <v>403276</v>
      </c>
      <c r="H4">
        <v>-235048.140625</v>
      </c>
      <c r="I4">
        <v>29242.060546875</v>
      </c>
      <c r="J4">
        <v>-20163.26953125</v>
      </c>
      <c r="K4">
        <v>1172406</v>
      </c>
      <c r="L4">
        <v>-983622.75</v>
      </c>
      <c r="M4">
        <v>11403</v>
      </c>
      <c r="N4">
        <v>-11403</v>
      </c>
      <c r="O4">
        <v>14</v>
      </c>
      <c r="P4">
        <v>161</v>
      </c>
      <c r="Q4">
        <v>-161</v>
      </c>
      <c r="R4">
        <v>-14</v>
      </c>
      <c r="S4">
        <v>140000</v>
      </c>
      <c r="T4">
        <v>58910.5703125</v>
      </c>
    </row>
    <row r="5" spans="1:23" x14ac:dyDescent="0.25">
      <c r="A5" s="92" t="s">
        <v>144</v>
      </c>
      <c r="B5" s="107">
        <v>45212</v>
      </c>
      <c r="C5">
        <v>563153.3125</v>
      </c>
      <c r="D5">
        <v>-563153.3125</v>
      </c>
      <c r="E5">
        <v>238794.984375</v>
      </c>
      <c r="F5">
        <v>-177566.796875</v>
      </c>
      <c r="G5">
        <v>403276</v>
      </c>
      <c r="H5">
        <v>-237032.65625</v>
      </c>
      <c r="I5">
        <v>29242.060546875</v>
      </c>
      <c r="J5">
        <v>-20233.1796875</v>
      </c>
      <c r="K5">
        <v>1172406</v>
      </c>
      <c r="L5">
        <v>-989532.0625</v>
      </c>
      <c r="M5">
        <v>11403</v>
      </c>
      <c r="N5">
        <v>-11403</v>
      </c>
      <c r="O5">
        <v>14</v>
      </c>
      <c r="P5">
        <v>161</v>
      </c>
      <c r="Q5">
        <v>-161</v>
      </c>
      <c r="R5">
        <v>-14</v>
      </c>
      <c r="S5">
        <v>140000</v>
      </c>
      <c r="T5">
        <v>58910.5703125</v>
      </c>
    </row>
    <row r="6" spans="1:23" x14ac:dyDescent="0.25">
      <c r="A6" s="92" t="s">
        <v>145</v>
      </c>
      <c r="B6" s="107">
        <v>45232</v>
      </c>
      <c r="C6">
        <v>563153.3125</v>
      </c>
      <c r="D6">
        <v>-563153.3125</v>
      </c>
      <c r="E6">
        <v>238794.984375</v>
      </c>
      <c r="F6">
        <v>-178077.046875</v>
      </c>
      <c r="G6">
        <v>403276</v>
      </c>
      <c r="H6">
        <v>-239017.078125</v>
      </c>
      <c r="I6">
        <v>29242.060546875</v>
      </c>
      <c r="J6">
        <v>-20303.08984375</v>
      </c>
      <c r="K6">
        <v>1172406</v>
      </c>
      <c r="L6">
        <v>-995441.375</v>
      </c>
      <c r="M6">
        <v>11403</v>
      </c>
      <c r="N6">
        <v>-11403</v>
      </c>
      <c r="O6">
        <v>14</v>
      </c>
      <c r="P6">
        <v>161</v>
      </c>
      <c r="Q6">
        <v>-161</v>
      </c>
      <c r="R6">
        <v>-14</v>
      </c>
      <c r="S6">
        <v>140000</v>
      </c>
      <c r="T6">
        <v>58910.5703125</v>
      </c>
    </row>
    <row r="7" spans="1:23" x14ac:dyDescent="0.25">
      <c r="A7" s="92" t="s">
        <v>146</v>
      </c>
      <c r="B7" s="107">
        <v>45264</v>
      </c>
      <c r="C7">
        <v>563153.3125</v>
      </c>
      <c r="D7">
        <v>-563153.3125</v>
      </c>
      <c r="E7">
        <v>238794.984375</v>
      </c>
      <c r="F7">
        <v>-178587.296875</v>
      </c>
      <c r="G7">
        <v>403276</v>
      </c>
      <c r="H7">
        <v>-240887.484375</v>
      </c>
      <c r="I7">
        <v>29242.060546875</v>
      </c>
      <c r="J7">
        <v>-20373</v>
      </c>
      <c r="K7">
        <v>1172406</v>
      </c>
      <c r="L7">
        <v>-1001350.6875</v>
      </c>
      <c r="M7">
        <v>11403</v>
      </c>
      <c r="N7">
        <v>-11403</v>
      </c>
      <c r="O7">
        <v>14</v>
      </c>
      <c r="P7">
        <v>161</v>
      </c>
      <c r="Q7">
        <v>-161</v>
      </c>
      <c r="R7">
        <v>-14</v>
      </c>
      <c r="S7">
        <v>140000</v>
      </c>
      <c r="T7">
        <v>58910.5703125</v>
      </c>
    </row>
    <row r="8" spans="1:23" x14ac:dyDescent="0.25">
      <c r="A8" s="92" t="s">
        <v>147</v>
      </c>
      <c r="B8" s="107">
        <v>45324</v>
      </c>
      <c r="C8">
        <v>563153.3125</v>
      </c>
      <c r="D8">
        <v>-563153.3125</v>
      </c>
      <c r="E8">
        <v>238794.984375</v>
      </c>
      <c r="F8">
        <v>-179097.546875</v>
      </c>
      <c r="G8">
        <v>403276</v>
      </c>
      <c r="H8">
        <v>-242757.9375</v>
      </c>
      <c r="I8">
        <v>29242.060546875</v>
      </c>
      <c r="J8">
        <v>-20442.91015625</v>
      </c>
      <c r="K8">
        <v>1172406</v>
      </c>
      <c r="L8">
        <v>-1007260.0625</v>
      </c>
      <c r="M8">
        <v>11403</v>
      </c>
      <c r="N8">
        <v>-11403</v>
      </c>
      <c r="O8">
        <v>14</v>
      </c>
      <c r="P8">
        <v>161</v>
      </c>
      <c r="Q8">
        <v>-161</v>
      </c>
      <c r="R8">
        <v>-14</v>
      </c>
      <c r="S8">
        <v>140000</v>
      </c>
      <c r="T8">
        <v>58910.5703125</v>
      </c>
    </row>
    <row r="9" spans="1:23" x14ac:dyDescent="0.25">
      <c r="A9" s="92" t="s">
        <v>148</v>
      </c>
      <c r="B9" s="107">
        <v>45324</v>
      </c>
      <c r="C9">
        <v>563153.3125</v>
      </c>
      <c r="D9">
        <v>-563153.3125</v>
      </c>
      <c r="E9">
        <v>238794.984375</v>
      </c>
      <c r="F9">
        <v>-179607.796875</v>
      </c>
      <c r="G9">
        <v>430991.6875</v>
      </c>
      <c r="H9">
        <v>-244687.578125</v>
      </c>
      <c r="I9">
        <v>29242.060546875</v>
      </c>
      <c r="J9">
        <v>-20512.8203125</v>
      </c>
      <c r="K9">
        <v>1172406</v>
      </c>
      <c r="L9">
        <v>-1013169.4375</v>
      </c>
      <c r="M9">
        <v>11403</v>
      </c>
      <c r="N9">
        <v>-11403</v>
      </c>
      <c r="O9">
        <v>14</v>
      </c>
      <c r="P9">
        <v>161</v>
      </c>
      <c r="Q9">
        <v>-161</v>
      </c>
      <c r="R9">
        <v>-14</v>
      </c>
      <c r="S9">
        <v>140000</v>
      </c>
      <c r="T9">
        <v>58910.5703125</v>
      </c>
    </row>
    <row r="10" spans="1:23" x14ac:dyDescent="0.25">
      <c r="A10" s="92" t="s">
        <v>149</v>
      </c>
      <c r="B10" s="107">
        <v>45355</v>
      </c>
      <c r="C10">
        <v>563153.3125</v>
      </c>
      <c r="D10">
        <v>-563153.3125</v>
      </c>
      <c r="E10">
        <v>238794.984375</v>
      </c>
      <c r="F10">
        <v>-180118.046875</v>
      </c>
      <c r="G10">
        <v>430991.6875</v>
      </c>
      <c r="H10">
        <v>-246617.234375</v>
      </c>
      <c r="I10">
        <v>29242.060546875</v>
      </c>
      <c r="J10">
        <v>-20582.73046875</v>
      </c>
      <c r="K10">
        <v>1172406</v>
      </c>
      <c r="L10">
        <v>-1019078.75</v>
      </c>
      <c r="M10">
        <v>11403</v>
      </c>
      <c r="N10">
        <v>-11403</v>
      </c>
      <c r="O10">
        <v>14</v>
      </c>
      <c r="P10">
        <v>161</v>
      </c>
      <c r="Q10">
        <v>-161</v>
      </c>
      <c r="R10">
        <v>-14</v>
      </c>
      <c r="S10">
        <v>140000</v>
      </c>
      <c r="T10">
        <v>58910.5703125</v>
      </c>
    </row>
    <row r="11" spans="1:23" x14ac:dyDescent="0.25">
      <c r="A11" s="92" t="s">
        <v>150</v>
      </c>
      <c r="B11" s="107">
        <v>45380</v>
      </c>
      <c r="C11">
        <v>563153.3125</v>
      </c>
      <c r="D11">
        <v>-563153.3125</v>
      </c>
      <c r="E11">
        <v>238794.984375</v>
      </c>
      <c r="F11">
        <v>-180628.296875</v>
      </c>
      <c r="G11">
        <v>430991.6875</v>
      </c>
      <c r="H11">
        <v>-248546.96875</v>
      </c>
      <c r="I11">
        <v>29242.060546875</v>
      </c>
      <c r="J11">
        <v>-20652.640625</v>
      </c>
      <c r="K11">
        <v>1172406</v>
      </c>
      <c r="L11">
        <v>-1024988.125</v>
      </c>
      <c r="M11">
        <v>11403</v>
      </c>
      <c r="N11">
        <v>-11403</v>
      </c>
      <c r="O11">
        <v>14</v>
      </c>
      <c r="P11">
        <v>161</v>
      </c>
      <c r="Q11">
        <v>-161</v>
      </c>
      <c r="R11">
        <v>-14</v>
      </c>
      <c r="S11">
        <v>140000</v>
      </c>
      <c r="T11">
        <v>58910.5703125</v>
      </c>
    </row>
    <row r="12" spans="1:23" x14ac:dyDescent="0.25">
      <c r="A12" s="92" t="s">
        <v>151</v>
      </c>
      <c r="B12" s="107">
        <v>45408</v>
      </c>
      <c r="C12">
        <v>563153.3125</v>
      </c>
      <c r="D12">
        <v>-563153.3125</v>
      </c>
      <c r="E12">
        <v>238794.984375</v>
      </c>
      <c r="F12">
        <v>-181138.546875</v>
      </c>
      <c r="G12">
        <v>430991.6875</v>
      </c>
      <c r="H12">
        <v>-250476.5625</v>
      </c>
      <c r="I12">
        <v>29242.060546875</v>
      </c>
      <c r="J12">
        <v>-20722.55078125</v>
      </c>
      <c r="K12">
        <v>1172406</v>
      </c>
      <c r="L12">
        <v>-1030897.5</v>
      </c>
      <c r="M12">
        <v>11403</v>
      </c>
      <c r="N12">
        <v>-11403</v>
      </c>
      <c r="O12">
        <v>14</v>
      </c>
      <c r="P12">
        <v>161</v>
      </c>
      <c r="Q12">
        <v>-161</v>
      </c>
      <c r="R12">
        <v>-14</v>
      </c>
      <c r="S12">
        <v>140000</v>
      </c>
      <c r="T12">
        <v>58910.5703125</v>
      </c>
    </row>
    <row r="13" spans="1:23" x14ac:dyDescent="0.25">
      <c r="A13" s="92" t="s">
        <v>152</v>
      </c>
    </row>
    <row r="14" spans="1:23" x14ac:dyDescent="0.25">
      <c r="A14" s="92" t="s">
        <v>153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9A6EA-13E0-4886-B0EC-3123FB4A6C6F}">
  <sheetPr codeName="Sheet9"/>
  <dimension ref="A1:K14"/>
  <sheetViews>
    <sheetView workbookViewId="0">
      <selection activeCell="H23" sqref="H23"/>
    </sheetView>
  </sheetViews>
  <sheetFormatPr defaultRowHeight="15" x14ac:dyDescent="0.25"/>
  <cols>
    <col min="3" max="3" width="3" customWidth="1"/>
    <col min="4" max="4" width="11.85546875" bestFit="1" customWidth="1"/>
    <col min="5" max="5" width="22.85546875" bestFit="1" customWidth="1"/>
  </cols>
  <sheetData>
    <row r="1" spans="1:11" x14ac:dyDescent="0.25">
      <c r="A1" t="s">
        <v>141</v>
      </c>
      <c r="B1" t="s">
        <v>167</v>
      </c>
      <c r="D1" t="s">
        <v>168</v>
      </c>
      <c r="E1" t="s">
        <v>95</v>
      </c>
      <c r="G1" t="s">
        <v>110</v>
      </c>
      <c r="H1" t="s">
        <v>172</v>
      </c>
      <c r="I1" t="s">
        <v>173</v>
      </c>
      <c r="J1" t="s">
        <v>174</v>
      </c>
      <c r="K1" t="s">
        <v>175</v>
      </c>
    </row>
    <row r="2" spans="1:11" x14ac:dyDescent="0.25">
      <c r="G2" t="str">
        <f>B3</f>
        <v>P</v>
      </c>
      <c r="H2" t="str">
        <f>B3</f>
        <v>P</v>
      </c>
      <c r="I2" t="str">
        <f>B3</f>
        <v>P</v>
      </c>
      <c r="J2" t="str">
        <f>B3</f>
        <v>P</v>
      </c>
      <c r="K2" t="str">
        <f>B3</f>
        <v>P</v>
      </c>
    </row>
    <row r="3" spans="1:11" x14ac:dyDescent="0.25">
      <c r="A3" s="92" t="s">
        <v>142</v>
      </c>
      <c r="B3" s="92" t="s">
        <v>155</v>
      </c>
      <c r="D3" t="s">
        <v>11</v>
      </c>
      <c r="E3" t="s">
        <v>12</v>
      </c>
      <c r="G3" t="str">
        <f>VLOOKUP(Balance!D3,$A$1:$B$14,2)</f>
        <v>Y</v>
      </c>
      <c r="H3" t="str">
        <f>VLOOKUP('JE Entry'!D3,$A$1:$B$14,2)</f>
        <v>Y</v>
      </c>
      <c r="I3" t="str">
        <f>VLOOKUP(Add!J4,$A$1:$B$14,2)</f>
        <v>Z</v>
      </c>
      <c r="J3" s="92" t="str">
        <f>VLOOKUP(Adjust!J4,$A$1:$B$14,2)</f>
        <v>P</v>
      </c>
      <c r="K3" s="92" t="str">
        <f>VLOOKUP(Remove!J4,$A$1:$B$14,2)</f>
        <v>P</v>
      </c>
    </row>
    <row r="4" spans="1:11" x14ac:dyDescent="0.25">
      <c r="A4" s="92" t="s">
        <v>143</v>
      </c>
      <c r="B4" s="92" t="s">
        <v>156</v>
      </c>
      <c r="D4" t="s">
        <v>13</v>
      </c>
      <c r="E4" t="s">
        <v>14</v>
      </c>
      <c r="G4">
        <f>MATCH(Balance!D3,'Months Accts'!A1:A14)</f>
        <v>12</v>
      </c>
      <c r="H4">
        <f>MATCH('JE Entry'!D3,'Months Accts'!A1:A14)</f>
        <v>12</v>
      </c>
      <c r="I4">
        <f>MATCH(Add!J4,'Months Accts'!A1:A14)</f>
        <v>13</v>
      </c>
      <c r="J4">
        <f>MATCH(Adjust!J4,'Months Accts'!A1:A14)</f>
        <v>3</v>
      </c>
      <c r="K4">
        <f>MATCH(Remove!J4,'Months Accts'!A1:A14)</f>
        <v>3</v>
      </c>
    </row>
    <row r="5" spans="1:11" x14ac:dyDescent="0.25">
      <c r="A5" s="92" t="s">
        <v>144</v>
      </c>
      <c r="B5" s="92" t="s">
        <v>157</v>
      </c>
      <c r="D5" t="s">
        <v>15</v>
      </c>
      <c r="E5" t="s">
        <v>16</v>
      </c>
      <c r="G5">
        <v>14</v>
      </c>
      <c r="H5">
        <v>14</v>
      </c>
      <c r="I5">
        <v>14</v>
      </c>
      <c r="J5">
        <v>14</v>
      </c>
      <c r="K5">
        <v>14</v>
      </c>
    </row>
    <row r="6" spans="1:11" x14ac:dyDescent="0.25">
      <c r="A6" s="92" t="s">
        <v>145</v>
      </c>
      <c r="B6" s="92" t="s">
        <v>158</v>
      </c>
      <c r="D6" t="s">
        <v>36</v>
      </c>
      <c r="E6" t="s">
        <v>37</v>
      </c>
      <c r="J6" s="92" t="e">
        <f>MATCH(Adjust!C4,Detail!$A$1:$A$95)</f>
        <v>#N/A</v>
      </c>
      <c r="K6" s="92" t="e">
        <f>MATCH(Remove!C4,Detail!$A$1:$A$95)</f>
        <v>#N/A</v>
      </c>
    </row>
    <row r="7" spans="1:11" x14ac:dyDescent="0.25">
      <c r="A7" s="92" t="s">
        <v>146</v>
      </c>
      <c r="B7" s="92" t="s">
        <v>159</v>
      </c>
      <c r="D7" t="s">
        <v>39</v>
      </c>
      <c r="E7" t="s">
        <v>40</v>
      </c>
      <c r="J7" s="92"/>
      <c r="K7" s="92"/>
    </row>
    <row r="8" spans="1:11" x14ac:dyDescent="0.25">
      <c r="A8" s="92" t="s">
        <v>147</v>
      </c>
      <c r="B8" s="92" t="s">
        <v>160</v>
      </c>
      <c r="D8" t="s">
        <v>69</v>
      </c>
      <c r="E8" t="s">
        <v>70</v>
      </c>
      <c r="J8" s="92"/>
      <c r="K8" s="92"/>
    </row>
    <row r="9" spans="1:11" x14ac:dyDescent="0.25">
      <c r="A9" s="92" t="s">
        <v>148</v>
      </c>
      <c r="B9" s="92" t="s">
        <v>161</v>
      </c>
      <c r="D9">
        <v>15800</v>
      </c>
      <c r="E9" t="s">
        <v>71</v>
      </c>
      <c r="J9" s="92"/>
      <c r="K9" s="92"/>
    </row>
    <row r="10" spans="1:11" x14ac:dyDescent="0.25">
      <c r="A10" s="92" t="s">
        <v>149</v>
      </c>
      <c r="B10" s="92" t="s">
        <v>162</v>
      </c>
      <c r="D10">
        <v>15900</v>
      </c>
      <c r="E10" t="s">
        <v>73</v>
      </c>
      <c r="J10" s="92"/>
      <c r="K10" s="92"/>
    </row>
    <row r="11" spans="1:11" x14ac:dyDescent="0.25">
      <c r="A11" s="92" t="s">
        <v>150</v>
      </c>
      <c r="B11" s="92" t="s">
        <v>163</v>
      </c>
      <c r="J11" s="92"/>
      <c r="K11" s="92"/>
    </row>
    <row r="12" spans="1:11" x14ac:dyDescent="0.25">
      <c r="A12" s="92" t="s">
        <v>151</v>
      </c>
      <c r="B12" s="92" t="s">
        <v>164</v>
      </c>
      <c r="J12" s="92"/>
      <c r="K12" s="92"/>
    </row>
    <row r="13" spans="1:11" x14ac:dyDescent="0.25">
      <c r="A13" s="92" t="s">
        <v>152</v>
      </c>
      <c r="B13" s="92" t="s">
        <v>165</v>
      </c>
      <c r="J13" s="92"/>
      <c r="K13" s="92"/>
    </row>
    <row r="14" spans="1:11" x14ac:dyDescent="0.25">
      <c r="A14" s="92" t="s">
        <v>153</v>
      </c>
      <c r="B14" s="92" t="s">
        <v>166</v>
      </c>
      <c r="J14" s="92"/>
      <c r="K14" s="9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Balance</vt:lpstr>
      <vt:lpstr>JE Entry</vt:lpstr>
      <vt:lpstr>Add</vt:lpstr>
      <vt:lpstr>Adjust</vt:lpstr>
      <vt:lpstr>Remove</vt:lpstr>
      <vt:lpstr>Detail</vt:lpstr>
      <vt:lpstr>JE History</vt:lpstr>
      <vt:lpstr>BS History</vt:lpstr>
      <vt:lpstr>Months Accts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Tefft</dc:creator>
  <cp:lastModifiedBy>Jeffrey Tefft</cp:lastModifiedBy>
  <dcterms:created xsi:type="dcterms:W3CDTF">2023-08-22T20:51:17Z</dcterms:created>
  <dcterms:modified xsi:type="dcterms:W3CDTF">2024-05-14T19:38:03Z</dcterms:modified>
</cp:coreProperties>
</file>